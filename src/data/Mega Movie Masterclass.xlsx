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" sheetId="1" r:id="rId5"/>
    <sheet state="visible" name="Dashboard" sheetId="2" r:id="rId6"/>
    <sheet state="visible" name="Genre Breakdown" sheetId="3" r:id="rId7"/>
    <sheet state="visible" name="Backend" sheetId="4" r:id="rId8"/>
    <sheet state="visible" name="Movies Over Time" sheetId="5" r:id="rId9"/>
    <sheet state="visible" name="Grading Scale (Simple)" sheetId="6" r:id="rId10"/>
    <sheet state="visible" name="Grading Scale (Tenths)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Usual suspects </t>
      </text>
    </comment>
  </commentList>
</comments>
</file>

<file path=xl/sharedStrings.xml><?xml version="1.0" encoding="utf-8"?>
<sst xmlns="http://schemas.openxmlformats.org/spreadsheetml/2006/main" count="2052" uniqueCount="969">
  <si>
    <t>Genre Breakdown</t>
  </si>
  <si>
    <t xml:space="preserve">Grading Scale </t>
  </si>
  <si>
    <t>Top 10</t>
  </si>
  <si>
    <t>Movies over time</t>
  </si>
  <si>
    <t>Grades over time</t>
  </si>
  <si>
    <t>Top 10 Movies</t>
  </si>
  <si>
    <t>Total Movies Watched</t>
  </si>
  <si>
    <t>Movie Name</t>
  </si>
  <si>
    <t>Release Date</t>
  </si>
  <si>
    <t>Genre</t>
  </si>
  <si>
    <t>IMDB</t>
  </si>
  <si>
    <t>Rotten</t>
  </si>
  <si>
    <t>Final Score</t>
  </si>
  <si>
    <t>Protagonist</t>
  </si>
  <si>
    <t>Antagonist</t>
  </si>
  <si>
    <t>Soundtrack</t>
  </si>
  <si>
    <t>Set Design</t>
  </si>
  <si>
    <t>Plot</t>
  </si>
  <si>
    <t>Ending</t>
  </si>
  <si>
    <t>Runtime</t>
  </si>
  <si>
    <t>Date Watched</t>
  </si>
  <si>
    <t>Style</t>
  </si>
  <si>
    <t>Show or Movie</t>
  </si>
  <si>
    <t>Diff IMDB</t>
  </si>
  <si>
    <t>Diff Rotten</t>
  </si>
  <si>
    <t>Total Hours Watched</t>
  </si>
  <si>
    <t>Dune: Part Two</t>
  </si>
  <si>
    <t>01 Mar 2024</t>
  </si>
  <si>
    <t>Action, Adventure, Drama</t>
  </si>
  <si>
    <t>166 min</t>
  </si>
  <si>
    <t>Live Action</t>
  </si>
  <si>
    <t>Movie</t>
  </si>
  <si>
    <t>Interstellar</t>
  </si>
  <si>
    <t>07 Nov 2014</t>
  </si>
  <si>
    <t>Adventure, Drama, Sci-Fi</t>
  </si>
  <si>
    <t>169 min</t>
  </si>
  <si>
    <t>Gladiator</t>
  </si>
  <si>
    <t>05 May 2000</t>
  </si>
  <si>
    <t>155 min</t>
  </si>
  <si>
    <t>Dune</t>
  </si>
  <si>
    <t>14 Dec 1984</t>
  </si>
  <si>
    <t>Action, Adventure, Sci-Fi</t>
  </si>
  <si>
    <t>137 min</t>
  </si>
  <si>
    <t>The Prestige</t>
  </si>
  <si>
    <t>20 Oct 2006</t>
  </si>
  <si>
    <t>Drama, Mystery, Sci-Fi</t>
  </si>
  <si>
    <t>130 min</t>
  </si>
  <si>
    <t>Se7en</t>
  </si>
  <si>
    <t>22 Sep 1995</t>
  </si>
  <si>
    <t>Crime, Drama, Mystery</t>
  </si>
  <si>
    <t>127 min</t>
  </si>
  <si>
    <t>1917</t>
  </si>
  <si>
    <t>10 Jan 2020</t>
  </si>
  <si>
    <t>Action, Drama, War</t>
  </si>
  <si>
    <t>119 min</t>
  </si>
  <si>
    <t>Whiplash</t>
  </si>
  <si>
    <t>15 Oct 2014</t>
  </si>
  <si>
    <t>Drama, Music</t>
  </si>
  <si>
    <t>106 min</t>
  </si>
  <si>
    <t>Inception</t>
  </si>
  <si>
    <t>16 Jul 2010</t>
  </si>
  <si>
    <t>148 min</t>
  </si>
  <si>
    <t>Edge Of Tomorrow</t>
  </si>
  <si>
    <t>06 Jun 2014</t>
  </si>
  <si>
    <t>113 min</t>
  </si>
  <si>
    <t xml:space="preserve">The Martian </t>
  </si>
  <si>
    <t>02 Oct 2015</t>
  </si>
  <si>
    <t>144 min</t>
  </si>
  <si>
    <t>Gladiator II</t>
  </si>
  <si>
    <t>22 Nov 2024</t>
  </si>
  <si>
    <t>La La Land</t>
  </si>
  <si>
    <t>25 Dec 2016</t>
  </si>
  <si>
    <t>Comedy, Drama, Music</t>
  </si>
  <si>
    <t>128 min</t>
  </si>
  <si>
    <t>The Revenant</t>
  </si>
  <si>
    <t>08 Jan 2016</t>
  </si>
  <si>
    <t>Action, Drama, Western</t>
  </si>
  <si>
    <t>156 min</t>
  </si>
  <si>
    <t>The Dark Knight</t>
  </si>
  <si>
    <t>18 Jul 2008</t>
  </si>
  <si>
    <t>Action, Crime, Drama</t>
  </si>
  <si>
    <t>152 min</t>
  </si>
  <si>
    <t>The Lord of the Rings: The Return of the King</t>
  </si>
  <si>
    <t>17 Dec 2003</t>
  </si>
  <si>
    <t>Adventure, Drama, Fantasy</t>
  </si>
  <si>
    <t>201 min</t>
  </si>
  <si>
    <t>Avengers: Endgame</t>
  </si>
  <si>
    <t>26 Apr 2019</t>
  </si>
  <si>
    <t>181 min</t>
  </si>
  <si>
    <t>How to Train Your Dragon</t>
  </si>
  <si>
    <t>26 Mar 2010</t>
  </si>
  <si>
    <t>Animation, Action, Adventure</t>
  </si>
  <si>
    <t>98 min</t>
  </si>
  <si>
    <t>Animated</t>
  </si>
  <si>
    <t>Nightcrawler</t>
  </si>
  <si>
    <t>31 Oct 2014</t>
  </si>
  <si>
    <t>Crime, Drama, Thriller</t>
  </si>
  <si>
    <t>117 min</t>
  </si>
  <si>
    <t>Spider-Man: No Way Home</t>
  </si>
  <si>
    <t>17 Dec 2021</t>
  </si>
  <si>
    <t>Action, Adventure, Fantasy</t>
  </si>
  <si>
    <t xml:space="preserve">Project Hail Mary </t>
  </si>
  <si>
    <t>20 Mar 2026</t>
  </si>
  <si>
    <t>Adventure, Comedy, Drama</t>
  </si>
  <si>
    <t>Oppenheimer</t>
  </si>
  <si>
    <t>21 Jul 2023</t>
  </si>
  <si>
    <t>Biography, Drama, History</t>
  </si>
  <si>
    <t>180 min</t>
  </si>
  <si>
    <t>Avengers: Infinity War</t>
  </si>
  <si>
    <t>27 Apr 2018</t>
  </si>
  <si>
    <t>149 min</t>
  </si>
  <si>
    <t>The Lord of the Rings: The Two Towers</t>
  </si>
  <si>
    <t>18 Dec 2002</t>
  </si>
  <si>
    <t>179 min</t>
  </si>
  <si>
    <t>Sinners</t>
  </si>
  <si>
    <t>18 Apr 2025</t>
  </si>
  <si>
    <t>Action, Drama, Horror</t>
  </si>
  <si>
    <t>Only the Brave</t>
  </si>
  <si>
    <t>20 Oct 2017</t>
  </si>
  <si>
    <t>Action, Biography, Drama</t>
  </si>
  <si>
    <t>134 min</t>
  </si>
  <si>
    <t>Vesper</t>
  </si>
  <si>
    <t>30 Sep 2022</t>
  </si>
  <si>
    <t>114 min</t>
  </si>
  <si>
    <t>How To Train Your Dragon 2</t>
  </si>
  <si>
    <t>13 Jun 2014</t>
  </si>
  <si>
    <t>102 min</t>
  </si>
  <si>
    <t>Tenet</t>
  </si>
  <si>
    <t>03 Sep 2020</t>
  </si>
  <si>
    <t>Action, Sci-Fi, Thriller</t>
  </si>
  <si>
    <t>150 min</t>
  </si>
  <si>
    <t xml:space="preserve">Before Sunset </t>
  </si>
  <si>
    <t>30 Jul 2004</t>
  </si>
  <si>
    <t>Drama, Romance</t>
  </si>
  <si>
    <t>80 min</t>
  </si>
  <si>
    <t>Sicario</t>
  </si>
  <si>
    <t>121 min</t>
  </si>
  <si>
    <t>The Lord of the Rings: The Fellowship of the Ring</t>
  </si>
  <si>
    <t>19 Dec 2001</t>
  </si>
  <si>
    <t>178 min</t>
  </si>
  <si>
    <t>Memories of Murder</t>
  </si>
  <si>
    <t>02 May 2003</t>
  </si>
  <si>
    <t>132 min</t>
  </si>
  <si>
    <t>The Accountant</t>
  </si>
  <si>
    <t>14 Oct 2016</t>
  </si>
  <si>
    <t>Saving Private Ryan</t>
  </si>
  <si>
    <t>24 Jul 1998</t>
  </si>
  <si>
    <t>Drama, War</t>
  </si>
  <si>
    <t xml:space="preserve">Good Will Hunting </t>
  </si>
  <si>
    <t>09 Jan 1998</t>
  </si>
  <si>
    <t>126 min</t>
  </si>
  <si>
    <t>Pacific Rim</t>
  </si>
  <si>
    <t>12 Jul 2013</t>
  </si>
  <si>
    <t>131 min</t>
  </si>
  <si>
    <t>Her</t>
  </si>
  <si>
    <t>10 Jan 2014</t>
  </si>
  <si>
    <t>Drama, Romance, Sci-Fi</t>
  </si>
  <si>
    <t>Blade Runner 2049</t>
  </si>
  <si>
    <t>06 Oct 2017</t>
  </si>
  <si>
    <t>Action, Drama, Mystery</t>
  </si>
  <si>
    <t>164 min</t>
  </si>
  <si>
    <t>The Imitation Game</t>
  </si>
  <si>
    <t>25 Dec 2014</t>
  </si>
  <si>
    <t>Biography, Drama, Thriller</t>
  </si>
  <si>
    <t>Deadpool &amp; Wolverine</t>
  </si>
  <si>
    <t>26 Jul 2024</t>
  </si>
  <si>
    <t>Action, Adventure, Comedy</t>
  </si>
  <si>
    <t>Everything Everywhere All At Once</t>
  </si>
  <si>
    <t>08 Apr 2022</t>
  </si>
  <si>
    <t>139 min</t>
  </si>
  <si>
    <t xml:space="preserve">One Battle After Another </t>
  </si>
  <si>
    <t>26 Sep 2025</t>
  </si>
  <si>
    <t>161 min</t>
  </si>
  <si>
    <t>Spectral</t>
  </si>
  <si>
    <t>09 Dec 2016</t>
  </si>
  <si>
    <t>107 min</t>
  </si>
  <si>
    <t>Green Book</t>
  </si>
  <si>
    <t>16 Nov 2018</t>
  </si>
  <si>
    <t>Biography, Comedy, Drama</t>
  </si>
  <si>
    <t>The Thin Red Line</t>
  </si>
  <si>
    <t>15 Jan 1999</t>
  </si>
  <si>
    <t>Drama, History, War</t>
  </si>
  <si>
    <t>170 min</t>
  </si>
  <si>
    <t>Warrior</t>
  </si>
  <si>
    <t>09 Sep 2011</t>
  </si>
  <si>
    <t>Action, Drama, Sport</t>
  </si>
  <si>
    <t>140 min</t>
  </si>
  <si>
    <t>Ford v Ferrari</t>
  </si>
  <si>
    <t>15 Nov 2019</t>
  </si>
  <si>
    <t>Deadpool</t>
  </si>
  <si>
    <t>12 Feb 2016</t>
  </si>
  <si>
    <t>Action, Comedy, Sci-Fi</t>
  </si>
  <si>
    <t>108 min</t>
  </si>
  <si>
    <t>Snowpiercer</t>
  </si>
  <si>
    <t>11 Jul 2014</t>
  </si>
  <si>
    <t>Carry-On</t>
  </si>
  <si>
    <t>13 Dec 2024</t>
  </si>
  <si>
    <t>Action, Crime, Thriller</t>
  </si>
  <si>
    <t>The Avengers</t>
  </si>
  <si>
    <t>04 May 2012</t>
  </si>
  <si>
    <t>Action, Sci-Fi</t>
  </si>
  <si>
    <t>143 min</t>
  </si>
  <si>
    <t>Spider-Man: Far From Home</t>
  </si>
  <si>
    <t>02 Jul 2019</t>
  </si>
  <si>
    <t>129 min</t>
  </si>
  <si>
    <t>Spider-Man: Homecoming</t>
  </si>
  <si>
    <t>07 Jul 2017</t>
  </si>
  <si>
    <t>133 min</t>
  </si>
  <si>
    <t>Forrest Gump</t>
  </si>
  <si>
    <t>06 Jul 1994</t>
  </si>
  <si>
    <t>142 min</t>
  </si>
  <si>
    <t>Doctor Strange</t>
  </si>
  <si>
    <t>04 Nov 2016</t>
  </si>
  <si>
    <t>115 min</t>
  </si>
  <si>
    <t>Tron: Legacy</t>
  </si>
  <si>
    <t>17 Dec 2010</t>
  </si>
  <si>
    <t>125 min</t>
  </si>
  <si>
    <t>13 Jul 2025</t>
  </si>
  <si>
    <t>Fantasy, Adventure</t>
  </si>
  <si>
    <t xml:space="preserve">Catch Me If You Can </t>
  </si>
  <si>
    <t>25 Dec 2002</t>
  </si>
  <si>
    <t>Biography, Crime, Drama</t>
  </si>
  <si>
    <t>141 min</t>
  </si>
  <si>
    <t>Dunkirk</t>
  </si>
  <si>
    <t>21 Jul 2017</t>
  </si>
  <si>
    <t>Action, Drama, History</t>
  </si>
  <si>
    <t>Arrival</t>
  </si>
  <si>
    <t>11 Nov 2016</t>
  </si>
  <si>
    <t>116 min</t>
  </si>
  <si>
    <t>Baby Driver</t>
  </si>
  <si>
    <t>28 Jun 2017</t>
  </si>
  <si>
    <t>Fury</t>
  </si>
  <si>
    <t>17 Oct 2014</t>
  </si>
  <si>
    <t>How to Train Your Dragon: The Hidden World</t>
  </si>
  <si>
    <t>22 Feb 2019</t>
  </si>
  <si>
    <t>104 min</t>
  </si>
  <si>
    <t>Maze Runner</t>
  </si>
  <si>
    <t>19 Sep 2014</t>
  </si>
  <si>
    <t>Action, Mystery, Sci-Fi</t>
  </si>
  <si>
    <t>Mad Max: Fury Road</t>
  </si>
  <si>
    <t>15 May 2015</t>
  </si>
  <si>
    <t>120 min</t>
  </si>
  <si>
    <t>F1: The Movie</t>
  </si>
  <si>
    <t>27 Jun 2025</t>
  </si>
  <si>
    <t>Black Panther</t>
  </si>
  <si>
    <t>16 Feb 2018</t>
  </si>
  <si>
    <t>Good Luck, Have Fun, Don't Die</t>
  </si>
  <si>
    <t>13 Feb 2026</t>
  </si>
  <si>
    <t>Shutter Island</t>
  </si>
  <si>
    <t>19 Feb 2010</t>
  </si>
  <si>
    <t>Drama, Mystery, Thriller</t>
  </si>
  <si>
    <t>138 min</t>
  </si>
  <si>
    <t>Ex Machina</t>
  </si>
  <si>
    <t>24 Apr 2015</t>
  </si>
  <si>
    <t>Drama, Sci-Fi, Thriller</t>
  </si>
  <si>
    <t>Together</t>
  </si>
  <si>
    <t>30 Jul 2025</t>
  </si>
  <si>
    <t>Horror, Romance</t>
  </si>
  <si>
    <t>The Menu</t>
  </si>
  <si>
    <t>18 Nov 2022</t>
  </si>
  <si>
    <t>Comedy, Horror, Thriller</t>
  </si>
  <si>
    <t>Locke</t>
  </si>
  <si>
    <t>18 Apr 2014</t>
  </si>
  <si>
    <t>Drama</t>
  </si>
  <si>
    <t>85 min</t>
  </si>
  <si>
    <t>The Matrix</t>
  </si>
  <si>
    <t>31 Mar 1999</t>
  </si>
  <si>
    <t>136 min</t>
  </si>
  <si>
    <t>The Hunger Games</t>
  </si>
  <si>
    <t>23 Mar 2012</t>
  </si>
  <si>
    <t>Finch</t>
  </si>
  <si>
    <t>05 Nov 2021</t>
  </si>
  <si>
    <t>The Wild Robot</t>
  </si>
  <si>
    <t>27 Sep 2024</t>
  </si>
  <si>
    <t>Animation, Adventure, Family</t>
  </si>
  <si>
    <t>Thor: Ragnarok</t>
  </si>
  <si>
    <t>03 Nov 2017</t>
  </si>
  <si>
    <t>No Time To Die</t>
  </si>
  <si>
    <t>08 Oct 2021</t>
  </si>
  <si>
    <t>Action, Adventure, Thriller</t>
  </si>
  <si>
    <t>163 min</t>
  </si>
  <si>
    <t>Harry Potter and the Deathly Hallows</t>
  </si>
  <si>
    <t>15 Jul 2011</t>
  </si>
  <si>
    <t>Adventure, Family, Fantasy</t>
  </si>
  <si>
    <t>Deep Impact</t>
  </si>
  <si>
    <t>08 May 1998</t>
  </si>
  <si>
    <t>Action, Drama, Sci-Fi</t>
  </si>
  <si>
    <t>Avengers: Age of Ultron</t>
  </si>
  <si>
    <t>01 May 2015</t>
  </si>
  <si>
    <t>Harry Potter and the Chamber of Secrets</t>
  </si>
  <si>
    <t>15 Nov 2002</t>
  </si>
  <si>
    <t>Cars</t>
  </si>
  <si>
    <t>09 Jun 2006</t>
  </si>
  <si>
    <t>Animation, Adventure, Comedy</t>
  </si>
  <si>
    <t>The Long Walk</t>
  </si>
  <si>
    <t>12 Sep 2025</t>
  </si>
  <si>
    <t>Horror, Sci-Fi, Thriller</t>
  </si>
  <si>
    <t>Avatar: Fire and Ash</t>
  </si>
  <si>
    <t>19 Dec 2025</t>
  </si>
  <si>
    <t>N/A</t>
  </si>
  <si>
    <t>195 min</t>
  </si>
  <si>
    <t>Batman Begins</t>
  </si>
  <si>
    <t>15 Jun 2005</t>
  </si>
  <si>
    <t>Avatar</t>
  </si>
  <si>
    <t>18 Dec 2009</t>
  </si>
  <si>
    <t>162 min</t>
  </si>
  <si>
    <t>Smile</t>
  </si>
  <si>
    <t>Horror, Mystery, Thriller</t>
  </si>
  <si>
    <t>Jurassic Park</t>
  </si>
  <si>
    <t>11 Jun 1993</t>
  </si>
  <si>
    <t>War for the Planet of the Apes</t>
  </si>
  <si>
    <t>14 Jul 2017</t>
  </si>
  <si>
    <t>Conclave</t>
  </si>
  <si>
    <t>25 Oct 2024</t>
  </si>
  <si>
    <t>Drama, Thriller</t>
  </si>
  <si>
    <t xml:space="preserve">Ratatouille </t>
  </si>
  <si>
    <t>29 Jun 2007</t>
  </si>
  <si>
    <t>111 min</t>
  </si>
  <si>
    <t>13 Hours: The Secret Soldiers of Benghazi</t>
  </si>
  <si>
    <t>15 Jan 2016</t>
  </si>
  <si>
    <t>Kingdom of the Planet of the Apes</t>
  </si>
  <si>
    <t>10 May 2024</t>
  </si>
  <si>
    <t>145 min</t>
  </si>
  <si>
    <t>Maze Runner: The Death Cure</t>
  </si>
  <si>
    <t>26 Jan 2018</t>
  </si>
  <si>
    <t>Avatar: The Way of Water</t>
  </si>
  <si>
    <t>16 Dec 2022</t>
  </si>
  <si>
    <t>192 min</t>
  </si>
  <si>
    <t>Frankenstein</t>
  </si>
  <si>
    <t>17 Oct 2025</t>
  </si>
  <si>
    <t>Drama, Horror, Sci-Fi</t>
  </si>
  <si>
    <t>Inglorious Bastards</t>
  </si>
  <si>
    <t>08 Feb 1978</t>
  </si>
  <si>
    <t>Action, Adventure, War</t>
  </si>
  <si>
    <t>99 min</t>
  </si>
  <si>
    <t>Chaos Walking</t>
  </si>
  <si>
    <t>05 Mar 2021</t>
  </si>
  <si>
    <t>109 min</t>
  </si>
  <si>
    <t>28 Years Later: The Bone Temple</t>
  </si>
  <si>
    <t>16 Jan 2026</t>
  </si>
  <si>
    <t>Casino Royale</t>
  </si>
  <si>
    <t>17 Nov 2006</t>
  </si>
  <si>
    <t>It</t>
  </si>
  <si>
    <t>08 Sep 2017</t>
  </si>
  <si>
    <t>Horror</t>
  </si>
  <si>
    <t>135 min</t>
  </si>
  <si>
    <t>Harry Potter and the Sorcerer's Stone</t>
  </si>
  <si>
    <t>16 Nov 2001</t>
  </si>
  <si>
    <t>Upgrade</t>
  </si>
  <si>
    <t>01 Jun 2018</t>
  </si>
  <si>
    <t>100 min</t>
  </si>
  <si>
    <t>Harry Potter and the Prisoner of Azkaban</t>
  </si>
  <si>
    <t>04 Jun 2004</t>
  </si>
  <si>
    <t>The Old Guard</t>
  </si>
  <si>
    <t>10 Jul 2020</t>
  </si>
  <si>
    <t>Action, Thriller</t>
  </si>
  <si>
    <t>Mary Poppins Returns</t>
  </si>
  <si>
    <t>19 Dec 2018</t>
  </si>
  <si>
    <t>Adventure, Comedy, Family</t>
  </si>
  <si>
    <t>No Country For Old Men</t>
  </si>
  <si>
    <t>21 Nov 2007</t>
  </si>
  <si>
    <t>122 min</t>
  </si>
  <si>
    <t>Captain America: Civil War</t>
  </si>
  <si>
    <t>06 May 2016</t>
  </si>
  <si>
    <t>147 min</t>
  </si>
  <si>
    <t xml:space="preserve">Peanut Butter Falcon </t>
  </si>
  <si>
    <t>23 Aug 2019</t>
  </si>
  <si>
    <t>97 min</t>
  </si>
  <si>
    <t>The Creator</t>
  </si>
  <si>
    <t>29 Sep 2023</t>
  </si>
  <si>
    <t>Harry Potter and the Goblet of Fire</t>
  </si>
  <si>
    <t>18 Nov 2005</t>
  </si>
  <si>
    <t>157 min</t>
  </si>
  <si>
    <t>The Hunger Games: Catching Fire</t>
  </si>
  <si>
    <t>22 Nov 2013</t>
  </si>
  <si>
    <t>146 min</t>
  </si>
  <si>
    <t>Mary Poppins</t>
  </si>
  <si>
    <t>18 Jun 1965</t>
  </si>
  <si>
    <t>Comedy, Family, Fantasy</t>
  </si>
  <si>
    <t>The Notebook</t>
  </si>
  <si>
    <t>25 Jun 2004</t>
  </si>
  <si>
    <t>123 min</t>
  </si>
  <si>
    <t>Guardians of the Galaxy</t>
  </si>
  <si>
    <t>01 Aug 2014</t>
  </si>
  <si>
    <t>The Equalizer</t>
  </si>
  <si>
    <t>26 Sep 2014</t>
  </si>
  <si>
    <t>The Old Guard 2</t>
  </si>
  <si>
    <t>02 Jul 2025</t>
  </si>
  <si>
    <t>Skyfall</t>
  </si>
  <si>
    <t>09 Nov 2012</t>
  </si>
  <si>
    <t>300</t>
  </si>
  <si>
    <t>09 Mar 2007</t>
  </si>
  <si>
    <t>Action, Drama</t>
  </si>
  <si>
    <t>Rise of the Planet of the Apes</t>
  </si>
  <si>
    <t>05 Aug 2011</t>
  </si>
  <si>
    <t>105 min</t>
  </si>
  <si>
    <t>Captain America: The Winter Soldier</t>
  </si>
  <si>
    <t>04 Apr 2014</t>
  </si>
  <si>
    <t>Harry Potter and the Half-Blood Prince</t>
  </si>
  <si>
    <t>15 Jul 2009</t>
  </si>
  <si>
    <t>Action, Adventure, Family</t>
  </si>
  <si>
    <t>153 min</t>
  </si>
  <si>
    <t>Harry Potter and the Order of the Phoenix</t>
  </si>
  <si>
    <t>11 Jul 2007</t>
  </si>
  <si>
    <t>The Bourne Ultimatum</t>
  </si>
  <si>
    <t>03 Aug 2007</t>
  </si>
  <si>
    <t>Action, Mystery, Thriller</t>
  </si>
  <si>
    <t>Backrooms (2026)</t>
  </si>
  <si>
    <t>29 May 2026</t>
  </si>
  <si>
    <t>110 min</t>
  </si>
  <si>
    <t>Memento</t>
  </si>
  <si>
    <t>25 May 2001</t>
  </si>
  <si>
    <t>The Bourne Supremacy</t>
  </si>
  <si>
    <t>23 Jul 2004</t>
  </si>
  <si>
    <t>Predestination</t>
  </si>
  <si>
    <t>09 Jan 2015</t>
  </si>
  <si>
    <t>The Tomorrow War</t>
  </si>
  <si>
    <t>02 Jul 2021</t>
  </si>
  <si>
    <t>The Great Debaters</t>
  </si>
  <si>
    <t>25 Dec 2007</t>
  </si>
  <si>
    <t>Biography, Drama, Romance</t>
  </si>
  <si>
    <t>Deadpool 2</t>
  </si>
  <si>
    <t>18 May 2018</t>
  </si>
  <si>
    <t>The Bourne Identity</t>
  </si>
  <si>
    <t>14 Jun 2002</t>
  </si>
  <si>
    <t>Wake Up Dead Man</t>
  </si>
  <si>
    <t>12 Dec 2025</t>
  </si>
  <si>
    <t>Comedy, Crime, Drama</t>
  </si>
  <si>
    <t>Transformers</t>
  </si>
  <si>
    <t>03 Jul 2007</t>
  </si>
  <si>
    <t>Ocean's Twelve</t>
  </si>
  <si>
    <t>10 Dec 2004</t>
  </si>
  <si>
    <t>Crime, Thriller</t>
  </si>
  <si>
    <t>The Hitman's Bodyguard</t>
  </si>
  <si>
    <t>18 Aug 2017</t>
  </si>
  <si>
    <t>Action, Comedy, Crime</t>
  </si>
  <si>
    <t>118 min</t>
  </si>
  <si>
    <t>The Equalizer 2</t>
  </si>
  <si>
    <t>20 Jul 2018</t>
  </si>
  <si>
    <t>Action, Crime, Mystery</t>
  </si>
  <si>
    <t>KPop Demon Hunters</t>
  </si>
  <si>
    <t>20 Jun 2025</t>
  </si>
  <si>
    <t>95 min</t>
  </si>
  <si>
    <t>Spiderhead</t>
  </si>
  <si>
    <t>17 Jun 2022</t>
  </si>
  <si>
    <t>Sicario: Day of the Soldado</t>
  </si>
  <si>
    <t>29 Jun 2018</t>
  </si>
  <si>
    <t>Percy Jackson &amp; the Olympians: The Lightning Thief</t>
  </si>
  <si>
    <t>12 Feb 2010</t>
  </si>
  <si>
    <t>The Thing With Feathers (2025)</t>
  </si>
  <si>
    <t>28 Nov 2025</t>
  </si>
  <si>
    <t>Before Sunrise</t>
  </si>
  <si>
    <t>27 Jan 1995</t>
  </si>
  <si>
    <t>Comedy, Drama, Romance</t>
  </si>
  <si>
    <t>101 min</t>
  </si>
  <si>
    <t>Divergent</t>
  </si>
  <si>
    <t>3/21/2014</t>
  </si>
  <si>
    <t>Guy Ritchie's The Covenant</t>
  </si>
  <si>
    <t>Error: Movie not found!</t>
  </si>
  <si>
    <t>Action, Drama, Thriller</t>
  </si>
  <si>
    <t>Iron Lung</t>
  </si>
  <si>
    <t>30 Jan 2026</t>
  </si>
  <si>
    <t>Horror, Sci-Fi</t>
  </si>
  <si>
    <t>The Super Mario Galaxy Movie</t>
  </si>
  <si>
    <t>01 Apr 2026</t>
  </si>
  <si>
    <t>The Super Mario Bros. Movie</t>
  </si>
  <si>
    <t>05 Apr 2023</t>
  </si>
  <si>
    <t>92 min</t>
  </si>
  <si>
    <t>Iron Man</t>
  </si>
  <si>
    <t>5/2/2008</t>
  </si>
  <si>
    <t>The Hunger Games: Mockingjay - Part 2</t>
  </si>
  <si>
    <t>11/20/2015</t>
  </si>
  <si>
    <t>The Amazing Spider-Man 2</t>
  </si>
  <si>
    <t>02 May 2014</t>
  </si>
  <si>
    <t>The Hunger Games: Mockingjay - Part 1</t>
  </si>
  <si>
    <t>11/21/2014</t>
  </si>
  <si>
    <t>The Adam Project</t>
  </si>
  <si>
    <t>3/11/2022</t>
  </si>
  <si>
    <t>The Penguin Lessons</t>
  </si>
  <si>
    <t>3/28/2025</t>
  </si>
  <si>
    <t>Oblivion</t>
  </si>
  <si>
    <t>4/19/2013</t>
  </si>
  <si>
    <t>124 min</t>
  </si>
  <si>
    <t>Black Widow</t>
  </si>
  <si>
    <t>7/9/2021</t>
  </si>
  <si>
    <t>Quantum of Solace</t>
  </si>
  <si>
    <t>14 Nov 2008</t>
  </si>
  <si>
    <t>Action, Adventure, Mystery</t>
  </si>
  <si>
    <t>Thor: The Dark World</t>
  </si>
  <si>
    <t>11/8/2013</t>
  </si>
  <si>
    <t>112 min</t>
  </si>
  <si>
    <t>The Running Man (2025)</t>
  </si>
  <si>
    <t>14 Nov 2025</t>
  </si>
  <si>
    <t>Spider-Man</t>
  </si>
  <si>
    <t>03 May 2002</t>
  </si>
  <si>
    <t>Into the Wild</t>
  </si>
  <si>
    <t>19 Oct 2007</t>
  </si>
  <si>
    <t>Adventure, Biography, Drama</t>
  </si>
  <si>
    <t>Now You See Me: Now You Don't</t>
  </si>
  <si>
    <t>Rango</t>
  </si>
  <si>
    <t>04 Mar 2011</t>
  </si>
  <si>
    <t>Knives Out</t>
  </si>
  <si>
    <t>27 Nov 2019</t>
  </si>
  <si>
    <t>The Amazing Spider-Man</t>
  </si>
  <si>
    <t>03 Jul 2012</t>
  </si>
  <si>
    <t>Materialists</t>
  </si>
  <si>
    <t>13 Jun 2025</t>
  </si>
  <si>
    <t>Comedy, Romance</t>
  </si>
  <si>
    <t>Black Hawk Down</t>
  </si>
  <si>
    <t>18 Jan 2002</t>
  </si>
  <si>
    <t>The Equalizer 3</t>
  </si>
  <si>
    <t>01 Sep 2023</t>
  </si>
  <si>
    <t>The Accountant 2</t>
  </si>
  <si>
    <t>25 Apr 2025</t>
  </si>
  <si>
    <t>The Gorge</t>
  </si>
  <si>
    <t>2/14/2025</t>
  </si>
  <si>
    <t>Action, Adventure, Horror</t>
  </si>
  <si>
    <t>Gemini Man</t>
  </si>
  <si>
    <t>11 Oct 2019</t>
  </si>
  <si>
    <t>The Fall Guy</t>
  </si>
  <si>
    <t>03 May 2024</t>
  </si>
  <si>
    <t>Action, Comedy, Drama</t>
  </si>
  <si>
    <t>Captain America: The First Avenger</t>
  </si>
  <si>
    <t>7/22/2011</t>
  </si>
  <si>
    <t>Black Panther: Wakanda Forever</t>
  </si>
  <si>
    <t>11 Nov 2022</t>
  </si>
  <si>
    <t>The Thing</t>
  </si>
  <si>
    <t>25 Jun 1982</t>
  </si>
  <si>
    <t>Horror, Mystery, Sci-Fi</t>
  </si>
  <si>
    <t>A Clockwork Orange</t>
  </si>
  <si>
    <t>02 Feb 1972</t>
  </si>
  <si>
    <t>Crime, Sci-Fi</t>
  </si>
  <si>
    <t>The Age of Adaline</t>
  </si>
  <si>
    <t>Drama, Fantasy, Romance</t>
  </si>
  <si>
    <t>Transformers: Dark of the Moon</t>
  </si>
  <si>
    <t>29 Jun 2011</t>
  </si>
  <si>
    <t>154 min</t>
  </si>
  <si>
    <t>Now You See Me</t>
  </si>
  <si>
    <t>31 May 2013</t>
  </si>
  <si>
    <t>Crime, Mystery, Thriller</t>
  </si>
  <si>
    <t>Wrath of the Titans</t>
  </si>
  <si>
    <t>30 Mar 2012</t>
  </si>
  <si>
    <t>Transformers: Age of Extinction</t>
  </si>
  <si>
    <t>27 Jun 2014</t>
  </si>
  <si>
    <t>165 min</t>
  </si>
  <si>
    <t>Transformers: The Last Knight</t>
  </si>
  <si>
    <t>21 Jun 2017</t>
  </si>
  <si>
    <t>Disclosure Day</t>
  </si>
  <si>
    <t>12 Jun 2026</t>
  </si>
  <si>
    <t>Shang-Chi and the Legend of the Ten Rings</t>
  </si>
  <si>
    <t>03 Sep 2021</t>
  </si>
  <si>
    <t>The Devil's Advocate</t>
  </si>
  <si>
    <t>17 Oct 1997</t>
  </si>
  <si>
    <t>Drama, Fantasy, Mystery</t>
  </si>
  <si>
    <t>The Lego Batman Movie</t>
  </si>
  <si>
    <t>10 Feb 2017</t>
  </si>
  <si>
    <t>Ready Or Not</t>
  </si>
  <si>
    <t>21 Aug 2019</t>
  </si>
  <si>
    <t>Action, Comedy, Horror</t>
  </si>
  <si>
    <t>The Bourne Legacy</t>
  </si>
  <si>
    <t>10 Aug 2012</t>
  </si>
  <si>
    <t>Now You See Me 2</t>
  </si>
  <si>
    <t>10 Jun 2016</t>
  </si>
  <si>
    <t>Iron Man 3</t>
  </si>
  <si>
    <t>03 May 2013</t>
  </si>
  <si>
    <t>Pitch Perfect</t>
  </si>
  <si>
    <t>05 Oct 2012</t>
  </si>
  <si>
    <t>Comedy, Music, Romance</t>
  </si>
  <si>
    <t>Ghostbusters: Frozen Empire</t>
  </si>
  <si>
    <t>22 Mar 2024</t>
  </si>
  <si>
    <t>Adventure, Comedy, Fantasy</t>
  </si>
  <si>
    <t>Dawn of the Planet of the Apes</t>
  </si>
  <si>
    <t>The Punisher: One Last Kill</t>
  </si>
  <si>
    <t>12 May 2026</t>
  </si>
  <si>
    <t>Action, Adventure, Crime</t>
  </si>
  <si>
    <t>60 min</t>
  </si>
  <si>
    <t>A Scanner Darkly</t>
  </si>
  <si>
    <t>28 Jul 2006</t>
  </si>
  <si>
    <t>Animation, Comedy, Crime</t>
  </si>
  <si>
    <t>The Amateur</t>
  </si>
  <si>
    <t>11 Apr 2025</t>
  </si>
  <si>
    <t>Spectre</t>
  </si>
  <si>
    <t>06 Nov 2015</t>
  </si>
  <si>
    <t>The Greatest Showman</t>
  </si>
  <si>
    <t>20 Dec 2017</t>
  </si>
  <si>
    <t>Biography, Drama, Musical</t>
  </si>
  <si>
    <t>The Incredibles</t>
  </si>
  <si>
    <t>05 Nov 2004</t>
  </si>
  <si>
    <t>Rememory</t>
  </si>
  <si>
    <t>24 Aug 2017</t>
  </si>
  <si>
    <t>Free Guy</t>
  </si>
  <si>
    <t>13 Aug 2021</t>
  </si>
  <si>
    <t>Doctor Strange in the Multiverse of Madness</t>
  </si>
  <si>
    <t>06 May 2022</t>
  </si>
  <si>
    <t>How to Train Your Dragon 2</t>
  </si>
  <si>
    <t>Ocean's Eleven</t>
  </si>
  <si>
    <t>07 Dec 2001</t>
  </si>
  <si>
    <t>Transformers: Revenge of the Fallen</t>
  </si>
  <si>
    <t>24 Jun 2009</t>
  </si>
  <si>
    <t>Crazy Rich Asians</t>
  </si>
  <si>
    <t>15 Aug 2018</t>
  </si>
  <si>
    <t>Eternals</t>
  </si>
  <si>
    <t>Bruce Almighty</t>
  </si>
  <si>
    <t>23 May 2003</t>
  </si>
  <si>
    <t>Comedy, Fantasy</t>
  </si>
  <si>
    <t>The Big Short</t>
  </si>
  <si>
    <t>23 Dec 2015</t>
  </si>
  <si>
    <t>Ready Player One</t>
  </si>
  <si>
    <t>29 Mar 2018</t>
  </si>
  <si>
    <t>Cloudy with a Chance of Meatballs</t>
  </si>
  <si>
    <t>18 Sep 2009</t>
  </si>
  <si>
    <t>90 min</t>
  </si>
  <si>
    <t>Spider-Man 3</t>
  </si>
  <si>
    <t>04 May 2007</t>
  </si>
  <si>
    <t>Carlito's Way</t>
  </si>
  <si>
    <t>12 Nov 1993</t>
  </si>
  <si>
    <t>28 Weeks Later</t>
  </si>
  <si>
    <t>11 May 2007</t>
  </si>
  <si>
    <t>The Divergent Series: Insurgent</t>
  </si>
  <si>
    <t>Spider-Man 2</t>
  </si>
  <si>
    <t>30 Jun 2004</t>
  </si>
  <si>
    <t>S.W.A.T.: Firefight</t>
  </si>
  <si>
    <t>01 Mar 2011</t>
  </si>
  <si>
    <t>89 min</t>
  </si>
  <si>
    <t>Micheal</t>
  </si>
  <si>
    <t>16 Feb 2000</t>
  </si>
  <si>
    <t>Documentary, Sport</t>
  </si>
  <si>
    <t>30 min</t>
  </si>
  <si>
    <t>Final Destination: Bloodlines</t>
  </si>
  <si>
    <t>16 May 2025</t>
  </si>
  <si>
    <t>Horror, Thriller</t>
  </si>
  <si>
    <t>Cars 2</t>
  </si>
  <si>
    <t>24 Jun 2011</t>
  </si>
  <si>
    <t>No Reservations</t>
  </si>
  <si>
    <t>27 Jul 2007</t>
  </si>
  <si>
    <t>Chappie</t>
  </si>
  <si>
    <t>06 Mar 2015</t>
  </si>
  <si>
    <t>The Fantastic Four: First Steps</t>
  </si>
  <si>
    <t>25 Jul 2025</t>
  </si>
  <si>
    <t>The Lego Movie</t>
  </si>
  <si>
    <t>07 Feb 2014</t>
  </si>
  <si>
    <t>Allegiant</t>
  </si>
  <si>
    <t>18 Mar 2016</t>
  </si>
  <si>
    <t>Final Destination 3</t>
  </si>
  <si>
    <t>10 Feb 2006</t>
  </si>
  <si>
    <t>93 min</t>
  </si>
  <si>
    <t>Mickey 17</t>
  </si>
  <si>
    <t>07 Mar 2025</t>
  </si>
  <si>
    <t>Final Destination 2</t>
  </si>
  <si>
    <t>31 Jan 2003</t>
  </si>
  <si>
    <t xml:space="preserve">Rampage </t>
  </si>
  <si>
    <t>13 Apr 2018</t>
  </si>
  <si>
    <t>Flushed Away</t>
  </si>
  <si>
    <t>03 Nov 2006</t>
  </si>
  <si>
    <t>Superman (2025)</t>
  </si>
  <si>
    <t>11 Jul 2025</t>
  </si>
  <si>
    <t>I Am Legend</t>
  </si>
  <si>
    <t>14 Dec 2007</t>
  </si>
  <si>
    <t>Transformers: Rise of the Beasts</t>
  </si>
  <si>
    <t>09 Jun 2023</t>
  </si>
  <si>
    <t>Furiosa: A Mad Max Saga</t>
  </si>
  <si>
    <t>24 May 2024</t>
  </si>
  <si>
    <t>Roman J. Israel, Esq.</t>
  </si>
  <si>
    <t>22 Nov 2017</t>
  </si>
  <si>
    <t>Little Miss Sunshine</t>
  </si>
  <si>
    <t>18 Aug 2006</t>
  </si>
  <si>
    <t>Comedy, Drama</t>
  </si>
  <si>
    <t>Thor: Love and Thunder</t>
  </si>
  <si>
    <t>08 Jul 2022</t>
  </si>
  <si>
    <t>28 Years Later</t>
  </si>
  <si>
    <t>Hancock</t>
  </si>
  <si>
    <t>02 Jul 2008</t>
  </si>
  <si>
    <t>Pacific Rim: Uprising</t>
  </si>
  <si>
    <t>23 Mar 2018</t>
  </si>
  <si>
    <t>Final Destination</t>
  </si>
  <si>
    <t>17 Mar 2000</t>
  </si>
  <si>
    <t>Pulp Fiction</t>
  </si>
  <si>
    <t>14 Oct 1994</t>
  </si>
  <si>
    <t>Crime, Drama</t>
  </si>
  <si>
    <t>Killers of the Flower Moon</t>
  </si>
  <si>
    <t>20 Oct 2023</t>
  </si>
  <si>
    <t>Crime, Drama, History</t>
  </si>
  <si>
    <t>206 min</t>
  </si>
  <si>
    <t>Underworld Evolution</t>
  </si>
  <si>
    <t>20 Jan 2006</t>
  </si>
  <si>
    <t>Action, Fantasy, Thriller</t>
  </si>
  <si>
    <t>Hitman's Wife's Bodyguard</t>
  </si>
  <si>
    <t>16 Jun 2021</t>
  </si>
  <si>
    <t>Underworld Awakening</t>
  </si>
  <si>
    <t>20 Jan 2012</t>
  </si>
  <si>
    <t>88 min</t>
  </si>
  <si>
    <t>Bumblebee</t>
  </si>
  <si>
    <t>21 Dec 2018</t>
  </si>
  <si>
    <t xml:space="preserve">In The Grey </t>
  </si>
  <si>
    <t>15 May 2026</t>
  </si>
  <si>
    <t>Midsommar</t>
  </si>
  <si>
    <t>03 Jul 2019</t>
  </si>
  <si>
    <t>Drama, Horror, Mystery</t>
  </si>
  <si>
    <t>Underworld</t>
  </si>
  <si>
    <t>19 Sep 2003</t>
  </si>
  <si>
    <t>Jack Ryan Ghost War</t>
  </si>
  <si>
    <t>20 May 2026</t>
  </si>
  <si>
    <t>Iron Man 2</t>
  </si>
  <si>
    <t>07 May 2010</t>
  </si>
  <si>
    <t>In Bruges</t>
  </si>
  <si>
    <t>29 Feb 2008</t>
  </si>
  <si>
    <t>Glass Onion: A Knives Out Mystery</t>
  </si>
  <si>
    <t>24 Nov 2022</t>
  </si>
  <si>
    <t>Crime, Mystery</t>
  </si>
  <si>
    <t>Final Destination 5</t>
  </si>
  <si>
    <t>12 Aug 2011</t>
  </si>
  <si>
    <t>Thor</t>
  </si>
  <si>
    <t>06 May 2011</t>
  </si>
  <si>
    <t>Action, Fantasy</t>
  </si>
  <si>
    <t>I, Robot</t>
  </si>
  <si>
    <t>16 Jul 2004</t>
  </si>
  <si>
    <t>Ant-Man</t>
  </si>
  <si>
    <t>17 Jul 2015</t>
  </si>
  <si>
    <t>Novocaine</t>
  </si>
  <si>
    <t>14 Mar 2025</t>
  </si>
  <si>
    <t>Venom: The Last Dance</t>
  </si>
  <si>
    <t>The Hunger Games: The Ballad of Songbirds &amp; Snakes</t>
  </si>
  <si>
    <t>17 Nov 2023</t>
  </si>
  <si>
    <t>Mortal Kombat (2021)</t>
  </si>
  <si>
    <t>23 Apr 2021</t>
  </si>
  <si>
    <t>Ant-Man and the Wasp</t>
  </si>
  <si>
    <t>06 Jul 2018</t>
  </si>
  <si>
    <t>Underworld Blood Wars</t>
  </si>
  <si>
    <t>06 Jan 2017</t>
  </si>
  <si>
    <t>91 min</t>
  </si>
  <si>
    <t>The Map That Leads To You</t>
  </si>
  <si>
    <t>20 Aug 2025</t>
  </si>
  <si>
    <t>96 min</t>
  </si>
  <si>
    <t>28 Days Later</t>
  </si>
  <si>
    <t>27 Jun 2003</t>
  </si>
  <si>
    <t>The Mummy</t>
  </si>
  <si>
    <t>07 May 1999</t>
  </si>
  <si>
    <t>War Machine</t>
  </si>
  <si>
    <t>26 May 2017</t>
  </si>
  <si>
    <t>Comedy, Drama, War</t>
  </si>
  <si>
    <t>The Man From Earth</t>
  </si>
  <si>
    <t>13 Nov 2007</t>
  </si>
  <si>
    <t>87 min</t>
  </si>
  <si>
    <t>Mortal Kombat II</t>
  </si>
  <si>
    <t>08 May 2026</t>
  </si>
  <si>
    <t>Pete's Dragon</t>
  </si>
  <si>
    <t>12 Aug 2016</t>
  </si>
  <si>
    <t>Highest 2 Lowest</t>
  </si>
  <si>
    <t>05 Sep 2025</t>
  </si>
  <si>
    <t>300 Rise of an Empire</t>
  </si>
  <si>
    <t>07 Mar 2014</t>
  </si>
  <si>
    <t>Action, Drama, Fantasy</t>
  </si>
  <si>
    <t>Fountain of Youth</t>
  </si>
  <si>
    <t>23 May 2025</t>
  </si>
  <si>
    <t>Anaconda (2025)</t>
  </si>
  <si>
    <t>25 Dec 2025</t>
  </si>
  <si>
    <t>Play Dirty</t>
  </si>
  <si>
    <t>01 Oct 2025</t>
  </si>
  <si>
    <t>The 5th Wave</t>
  </si>
  <si>
    <t>22 Jan 2016</t>
  </si>
  <si>
    <t>Thunderbolts</t>
  </si>
  <si>
    <t>02 May 2025</t>
  </si>
  <si>
    <t>Olympus Has Fallen</t>
  </si>
  <si>
    <t>22 Mar 2013</t>
  </si>
  <si>
    <t>Evan Almighty</t>
  </si>
  <si>
    <t>22 Jun 2007</t>
  </si>
  <si>
    <t>How to Train Your Dragon: Snoggletog Log</t>
  </si>
  <si>
    <t>05 Dec 2019</t>
  </si>
  <si>
    <t>Animation, Short</t>
  </si>
  <si>
    <t>28 min</t>
  </si>
  <si>
    <t>Underworld: Rise of the Lycans</t>
  </si>
  <si>
    <t>23 Jan 2009</t>
  </si>
  <si>
    <t>The Ridiculous 6</t>
  </si>
  <si>
    <t>11 Dec 2015</t>
  </si>
  <si>
    <t>Flatliners</t>
  </si>
  <si>
    <t>10 Aug 1990</t>
  </si>
  <si>
    <t>But I'm A Cheerleader</t>
  </si>
  <si>
    <t>11 Aug 2000</t>
  </si>
  <si>
    <t>Doctor Who: The Day of the Doctor</t>
  </si>
  <si>
    <t>Five Nights At Freddy's 2</t>
  </si>
  <si>
    <t>05 Dec 2025</t>
  </si>
  <si>
    <t>The Final Destination</t>
  </si>
  <si>
    <t>28 Aug 2009</t>
  </si>
  <si>
    <t>82 min</t>
  </si>
  <si>
    <t>Heart of Champions</t>
  </si>
  <si>
    <t>29 Oct 2021</t>
  </si>
  <si>
    <t>Drama, Sport</t>
  </si>
  <si>
    <t>R.I.P.D.</t>
  </si>
  <si>
    <t>19 Jul 2013</t>
  </si>
  <si>
    <t>Five Nights At Freddy's</t>
  </si>
  <si>
    <t>27 Oct 2023</t>
  </si>
  <si>
    <t>Percy Jackson: Sea of Monsters</t>
  </si>
  <si>
    <t>07 Aug 2013</t>
  </si>
  <si>
    <t>Moonfall</t>
  </si>
  <si>
    <t>04 Feb 2022</t>
  </si>
  <si>
    <t>Lake Jesup: Bonecrusher's Revenge</t>
  </si>
  <si>
    <t>June 13 2025</t>
  </si>
  <si>
    <t>Adventure, Comedy, Horror</t>
  </si>
  <si>
    <t>Tron: Ares</t>
  </si>
  <si>
    <t>10 Oct 2025</t>
  </si>
  <si>
    <t>Morbius</t>
  </si>
  <si>
    <t>01 Apr 2022</t>
  </si>
  <si>
    <t>The Cloverfield Paradox</t>
  </si>
  <si>
    <t>04 Feb 2018</t>
  </si>
  <si>
    <t>Madame Web</t>
  </si>
  <si>
    <t>14 Feb 2024</t>
  </si>
  <si>
    <t>The Marvels</t>
  </si>
  <si>
    <t>10 Nov 2023</t>
  </si>
  <si>
    <t>A Minecraft Movie</t>
  </si>
  <si>
    <t>04 Apr 2025</t>
  </si>
  <si>
    <t>Jurassic World Rebirth</t>
  </si>
  <si>
    <t>Flight Risk</t>
  </si>
  <si>
    <t>24 Jan 2025</t>
  </si>
  <si>
    <t>Whiteout</t>
  </si>
  <si>
    <t>11 Sep 2009</t>
  </si>
  <si>
    <t>House</t>
  </si>
  <si>
    <t>30 Jul 1977</t>
  </si>
  <si>
    <t>Horror, Fantasy</t>
  </si>
  <si>
    <t>The Night Time World</t>
  </si>
  <si>
    <t>28 Jan 2025</t>
  </si>
  <si>
    <t>Drama, Fantasy, Horror</t>
  </si>
  <si>
    <t>Succubus</t>
  </si>
  <si>
    <t>24 Sep 2024</t>
  </si>
  <si>
    <t>Drama, Horror, Thriller</t>
  </si>
  <si>
    <t>103 min</t>
  </si>
  <si>
    <t>War of the Worlds</t>
  </si>
  <si>
    <t>30 July 2025</t>
  </si>
  <si>
    <t>Thriller</t>
  </si>
  <si>
    <t>2001: A Space Odyssey</t>
  </si>
  <si>
    <t>21 Bridges</t>
  </si>
  <si>
    <t>Aladdin</t>
  </si>
  <si>
    <t>Ant-Man and the Wasp: Quantumania</t>
  </si>
  <si>
    <t>Barry Lyndon</t>
  </si>
  <si>
    <t>Beautiful Boy</t>
  </si>
  <si>
    <t>Black Swan</t>
  </si>
  <si>
    <t>Bloodshot</t>
  </si>
  <si>
    <t>Brokeback Mountain</t>
  </si>
  <si>
    <t>Brothers</t>
  </si>
  <si>
    <t>Call Me By Your Name</t>
  </si>
  <si>
    <t xml:space="preserve">Candy </t>
  </si>
  <si>
    <t>Captain Marvel</t>
  </si>
  <si>
    <t>Cars 3</t>
  </si>
  <si>
    <t>Casino</t>
  </si>
  <si>
    <t>Children of Men</t>
  </si>
  <si>
    <t>Death Proof</t>
  </si>
  <si>
    <t>Déjà Vu</t>
  </si>
  <si>
    <t>Django</t>
  </si>
  <si>
    <t>Don't Worry Darling</t>
  </si>
  <si>
    <t>Donnie Darko</t>
  </si>
  <si>
    <t>Dr. Strangelove</t>
  </si>
  <si>
    <t>Dredd</t>
  </si>
  <si>
    <t>E.T.</t>
  </si>
  <si>
    <t>Elysium</t>
  </si>
  <si>
    <t>Ender’s Game</t>
  </si>
  <si>
    <t>Enemy</t>
  </si>
  <si>
    <t>Eragon</t>
  </si>
  <si>
    <t>Eraserhead</t>
  </si>
  <si>
    <t>Eternal Sunshine of the Spotless Mind</t>
  </si>
  <si>
    <t>Eyes Wide Shut</t>
  </si>
  <si>
    <t>Five Feet Apart</t>
  </si>
  <si>
    <t>Gangs of New York</t>
  </si>
  <si>
    <t>Gattaca</t>
  </si>
  <si>
    <t>Get Out</t>
  </si>
  <si>
    <t>Ghostbusters</t>
  </si>
  <si>
    <t>Ghostbusters II</t>
  </si>
  <si>
    <t>Ghostbusters: Afterlife</t>
  </si>
  <si>
    <t>Goodfellas</t>
  </si>
  <si>
    <t>Guardians of the Galaxy Vol. 2</t>
  </si>
  <si>
    <t>Guardians of the Galaxy Vol. 3</t>
  </si>
  <si>
    <t>Hacksaw Ridge</t>
  </si>
  <si>
    <t>Happy Feet</t>
  </si>
  <si>
    <t>Hereditary</t>
  </si>
  <si>
    <t>Incendies</t>
  </si>
  <si>
    <t>Incredibles 2</t>
  </si>
  <si>
    <t>Insomnia</t>
  </si>
  <si>
    <t>It's A Wonderful Life</t>
  </si>
  <si>
    <t>Jackie Brown</t>
  </si>
  <si>
    <t>Jaws</t>
  </si>
  <si>
    <t>Jexi</t>
  </si>
  <si>
    <t>Jurassic Park III</t>
  </si>
  <si>
    <t>Jurassic World</t>
  </si>
  <si>
    <t>Jurassic World: Dominion</t>
  </si>
  <si>
    <t>Jurassic World: Fallen Kingdom</t>
  </si>
  <si>
    <t>Kill Bill</t>
  </si>
  <si>
    <t>Ladder 49</t>
  </si>
  <si>
    <t>Ladybird</t>
  </si>
  <si>
    <t>Little Women</t>
  </si>
  <si>
    <t>Manchester By The Sea</t>
  </si>
  <si>
    <t>Maze Runner: The Scorch Trials</t>
  </si>
  <si>
    <t>Me Before You</t>
  </si>
  <si>
    <t>Minority Report</t>
  </si>
  <si>
    <t>Mona Lisa Smile</t>
  </si>
  <si>
    <t>Moulin Rouge</t>
  </si>
  <si>
    <t>Mr. Nobody</t>
  </si>
  <si>
    <t xml:space="preserve">Mrs doubtfutr </t>
  </si>
  <si>
    <t>Mulholland Drive</t>
  </si>
  <si>
    <t xml:space="preserve">My side of the mountain </t>
  </si>
  <si>
    <t>Next Floor</t>
  </si>
  <si>
    <t>Night at the meuseum</t>
  </si>
  <si>
    <t>Notting Hill</t>
  </si>
  <si>
    <t>Oldboy</t>
  </si>
  <si>
    <t>Once Upon a Time in Hollywood</t>
  </si>
  <si>
    <t>Pan's Labyrynth</t>
  </si>
  <si>
    <t>Parasite</t>
  </si>
  <si>
    <t>Paths of Glory</t>
  </si>
  <si>
    <t>Poltergeist</t>
  </si>
  <si>
    <t>Polytechnique</t>
  </si>
  <si>
    <t>Pride and Prejudice</t>
  </si>
  <si>
    <t>Primer</t>
  </si>
  <si>
    <t>Prisoners</t>
  </si>
  <si>
    <t>Project Power</t>
  </si>
  <si>
    <t>Raging Bull</t>
  </si>
  <si>
    <t>Raiders of the Lost Ark</t>
  </si>
  <si>
    <t>Reminiscence</t>
  </si>
  <si>
    <t>Repo Men</t>
  </si>
  <si>
    <t>Reqiem for a Dream</t>
  </si>
  <si>
    <t>Schindler's List</t>
  </si>
  <si>
    <t>Scott Pilgrim</t>
  </si>
  <si>
    <t>Sense and Sensibility</t>
  </si>
  <si>
    <t>Shark Tale</t>
  </si>
  <si>
    <t>Split</t>
  </si>
  <si>
    <t>Taxi Driver</t>
  </si>
  <si>
    <t>The Babadook</t>
  </si>
  <si>
    <t>The Butterfly Effect</t>
  </si>
  <si>
    <t>The Circle</t>
  </si>
  <si>
    <t>The Departed</t>
  </si>
  <si>
    <t>The Exorcist</t>
  </si>
  <si>
    <t>The Fantastic Four</t>
  </si>
  <si>
    <t>The Fault In Our Stars</t>
  </si>
  <si>
    <t>The Grave of the Fireflies</t>
  </si>
  <si>
    <t>The Green Mile</t>
  </si>
  <si>
    <t>The Hateful Eight</t>
  </si>
  <si>
    <t>The Holiday</t>
  </si>
  <si>
    <t>The Hunt</t>
  </si>
  <si>
    <t>The Incredible Hulk</t>
  </si>
  <si>
    <t>The Lego Movie 2: The Second Part</t>
  </si>
  <si>
    <t>The Lighthouse</t>
  </si>
  <si>
    <t>The Lobster</t>
  </si>
  <si>
    <t>The Lost World: Jurassic Park</t>
  </si>
  <si>
    <t>The Master</t>
  </si>
  <si>
    <t>The Midnight Sky</t>
  </si>
  <si>
    <t>The Monkey</t>
  </si>
  <si>
    <t>The Phantom of the Opera</t>
  </si>
  <si>
    <t>The Pianist</t>
  </si>
  <si>
    <t>The Shining</t>
  </si>
  <si>
    <t>The Society of the Snow</t>
  </si>
  <si>
    <t>The Taking of Deborah Logan</t>
  </si>
  <si>
    <t>the theory of everything</t>
  </si>
  <si>
    <t>The Titanic</t>
  </si>
  <si>
    <t xml:space="preserve">The Wolf of Wall Street </t>
  </si>
  <si>
    <t>There Will Be Blood</t>
  </si>
  <si>
    <t>Thirteen</t>
  </si>
  <si>
    <t>Tomorrowland</t>
  </si>
  <si>
    <t>Toy story movies</t>
  </si>
  <si>
    <t>Trainspotting</t>
  </si>
  <si>
    <t>Triangle</t>
  </si>
  <si>
    <t>Tron</t>
  </si>
  <si>
    <t xml:space="preserve">Twisters </t>
  </si>
  <si>
    <t>Us</t>
  </si>
  <si>
    <t>Usual suspects</t>
  </si>
  <si>
    <t>Vanilla Sky</t>
  </si>
  <si>
    <t>WALL-E</t>
  </si>
  <si>
    <t>We Live In Time</t>
  </si>
  <si>
    <t>A Star is Born</t>
  </si>
  <si>
    <t>il postino</t>
  </si>
  <si>
    <t>About Time</t>
  </si>
  <si>
    <t>21 Jump Street</t>
  </si>
  <si>
    <t xml:space="preserve">The scent of a woman </t>
  </si>
  <si>
    <t>Queen and Slim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</si>
</sst>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M/d/yyyy"/>
    <numFmt numFmtId="166" formatCode="0.0"/>
    <numFmt numFmtId="167" formatCode="0.000"/>
  </numFmts>
  <fonts count="12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5.0"/>
      <color rgb="FF000000"/>
      <name val="Times New Roman"/>
    </font>
    <font/>
    <font>
      <b/>
      <sz val="23.0"/>
      <color rgb="FF000000"/>
      <name val="Arial"/>
      <scheme val="minor"/>
    </font>
    <font>
      <sz val="9.0"/>
      <color theme="1"/>
      <name val="Arial"/>
    </font>
    <font>
      <b/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color rgb="FF43434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readingOrder="0"/>
    </xf>
    <xf borderId="2" fillId="4" fontId="5" numFmtId="0" xfId="0" applyBorder="1" applyFont="1"/>
    <xf borderId="0" fillId="2" fontId="4" numFmtId="0" xfId="0" applyAlignment="1" applyFont="1">
      <alignment readingOrder="0"/>
    </xf>
    <xf borderId="1" fillId="5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0" fillId="0" fontId="2" numFmtId="0" xfId="0" applyFont="1"/>
    <xf borderId="2" fillId="0" fontId="5" numFmtId="0" xfId="0" applyBorder="1" applyFont="1"/>
    <xf borderId="4" fillId="6" fontId="5" numFmtId="0" xfId="0" applyBorder="1" applyFill="1" applyFont="1"/>
    <xf borderId="5" fillId="6" fontId="5" numFmtId="0" xfId="0" applyBorder="1" applyFont="1"/>
    <xf borderId="6" fillId="0" fontId="5" numFmtId="0" xfId="0" applyBorder="1" applyFont="1"/>
    <xf borderId="7" fillId="0" fontId="5" numFmtId="0" xfId="0" applyBorder="1" applyFont="1"/>
    <xf borderId="6" fillId="7" fontId="1" numFmtId="0" xfId="0" applyBorder="1" applyFill="1" applyFont="1"/>
    <xf borderId="7" fillId="7" fontId="1" numFmtId="2" xfId="0" applyBorder="1" applyFont="1" applyNumberFormat="1"/>
    <xf borderId="0" fillId="0" fontId="2" numFmtId="164" xfId="0" applyAlignment="1" applyFont="1" applyNumberFormat="1">
      <alignment readingOrder="0"/>
    </xf>
    <xf borderId="1" fillId="7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0"/>
    </xf>
    <xf borderId="6" fillId="6" fontId="1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7" fillId="6" fontId="1" numFmtId="2" xfId="0" applyBorder="1" applyFont="1" applyNumberFormat="1"/>
    <xf borderId="0" fillId="0" fontId="7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4" fillId="0" fontId="5" numFmtId="0" xfId="0" applyBorder="1" applyFont="1"/>
    <xf borderId="8" fillId="0" fontId="5" numFmtId="0" xfId="0" applyBorder="1" applyFont="1"/>
    <xf borderId="5" fillId="0" fontId="5" numFmtId="0" xfId="0" applyBorder="1" applyFont="1"/>
    <xf borderId="0" fillId="0" fontId="2" numFmtId="165" xfId="0" applyFont="1" applyNumberFormat="1"/>
    <xf borderId="0" fillId="0" fontId="3" numFmtId="49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8" numFmtId="0" xfId="0" applyFont="1"/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readingOrder="0" shrinkToFit="0" vertical="center" wrapText="0"/>
    </xf>
    <xf borderId="1" fillId="7" fontId="6" numFmtId="166" xfId="0" applyAlignment="1" applyBorder="1" applyFont="1" applyNumberFormat="1">
      <alignment horizontal="center" vertical="center"/>
    </xf>
    <xf borderId="0" fillId="0" fontId="9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4" fillId="6" fontId="1" numFmtId="0" xfId="0" applyBorder="1" applyFont="1"/>
    <xf borderId="5" fillId="6" fontId="1" numFmtId="2" xfId="0" applyBorder="1" applyFont="1" applyNumberFormat="1"/>
    <xf borderId="0" fillId="0" fontId="2" numFmtId="49" xfId="0" applyFont="1" applyNumberFormat="1"/>
    <xf borderId="0" fillId="0" fontId="2" numFmtId="2" xfId="0" applyFont="1" applyNumberFormat="1"/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readingOrder="0" shrinkToFit="0" vertical="center" wrapText="0"/>
    </xf>
    <xf borderId="9" fillId="0" fontId="3" numFmtId="166" xfId="0" applyAlignment="1" applyBorder="1" applyFont="1" applyNumberForma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2" numFmtId="164" xfId="0" applyFont="1" applyNumberFormat="1"/>
    <xf borderId="0" fillId="8" fontId="11" numFmtId="166" xfId="0" applyAlignment="1" applyFill="1" applyFont="1" applyNumberFormat="1">
      <alignment readingOrder="0" shrinkToFit="0" vertical="center" wrapText="0"/>
    </xf>
    <xf borderId="0" fillId="8" fontId="11" numFmtId="0" xfId="0" applyAlignment="1" applyFont="1">
      <alignment horizontal="right"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9" fillId="8" fontId="11" numFmtId="0" xfId="0" applyAlignment="1" applyBorder="1" applyFont="1">
      <alignment shrinkToFit="0" vertical="center" wrapText="0"/>
    </xf>
    <xf borderId="9" fillId="8" fontId="11" numFmtId="0" xfId="0" applyAlignment="1" applyBorder="1" applyFont="1">
      <alignment readingOrder="0" shrinkToFit="0" vertical="center" wrapText="0"/>
    </xf>
    <xf borderId="0" fillId="0" fontId="2" numFmtId="167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4" pivot="0" name="Mov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chartsheet" Target="chartsheets/sheet4.xml"/><Relationship Id="rId10" Type="http://schemas.openxmlformats.org/officeDocument/2006/relationships/chartsheet" Target="chartsheets/sheet3.xml"/><Relationship Id="rId9" Type="http://schemas.openxmlformats.org/officeDocument/2006/relationships/chartsheet" Target="chart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hartsheet" Target="chartsheets/sheet1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Backend!$H$1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Backend!$G$2:$G$1000</c:f>
            </c:strRef>
          </c:cat>
          <c:val>
            <c:numRef>
              <c:f>Backend!$H$2:$H$1000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Backend!$S$2:$S$1000</c:f>
            </c:strRef>
          </c:cat>
          <c:val>
            <c:numRef>
              <c:f>Backend!$S$1</c:f>
              <c:numCache/>
            </c:numRef>
          </c:val>
          <c:smooth val="0"/>
        </c:ser>
        <c:axId val="691295693"/>
        <c:axId val="1419398874"/>
      </c:lineChart>
      <c:catAx>
        <c:axId val="691295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398874"/>
      </c:catAx>
      <c:valAx>
        <c:axId val="1419398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295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Backend!$L$2:$L$11</c:f>
            </c:strRef>
          </c:cat>
          <c:val>
            <c:numRef>
              <c:f>Backend!$M$2:$M$11</c:f>
              <c:numCache/>
            </c:numRef>
          </c:val>
        </c:ser>
        <c:axId val="1568131401"/>
        <c:axId val="1711695230"/>
      </c:barChart>
      <c:catAx>
        <c:axId val="1568131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695230"/>
      </c:catAx>
      <c:valAx>
        <c:axId val="1711695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131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Grading Scale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Backend!$K$1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Backend!$J$2:$J$101</c:f>
            </c:strRef>
          </c:cat>
          <c:val>
            <c:numRef>
              <c:f>Backend!$K$2:$K$101</c:f>
              <c:numCache/>
            </c:numRef>
          </c:val>
        </c:ser>
        <c:axId val="620643528"/>
        <c:axId val="121973627"/>
      </c:barChart>
      <c:catAx>
        <c:axId val="620643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Grading Scale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73627"/>
      </c:catAx>
      <c:valAx>
        <c:axId val="121973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643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495300</xdr:colOff>
      <xdr:row>1</xdr:row>
      <xdr:rowOff>238125</xdr:rowOff>
    </xdr:from>
    <xdr:ext cx="2066925" cy="800100"/>
    <xdr:sp>
      <xdr:nvSpPr>
        <xdr:cNvPr id="3" name="Shape 3"/>
        <xdr:cNvSpPr/>
      </xdr:nvSpPr>
      <xdr:spPr>
        <a:xfrm>
          <a:off x="4766125" y="3181150"/>
          <a:ext cx="2050800" cy="7827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 Spreadsheet</a:t>
          </a:r>
          <a:endParaRPr sz="1400"/>
        </a:p>
      </xdr:txBody>
    </xdr:sp>
    <xdr:clientData fLocksWithSheet="0"/>
  </xdr:oneCellAnchor>
  <xdr:oneCellAnchor>
    <xdr:from>
      <xdr:col>18</xdr:col>
      <xdr:colOff>495300</xdr:colOff>
      <xdr:row>5</xdr:row>
      <xdr:rowOff>38100</xdr:rowOff>
    </xdr:from>
    <xdr:ext cx="2066925" cy="904875"/>
    <xdr:sp>
      <xdr:nvSpPr>
        <xdr:cNvPr id="4" name="Shape 4"/>
        <xdr:cNvSpPr/>
      </xdr:nvSpPr>
      <xdr:spPr>
        <a:xfrm>
          <a:off x="4726525" y="3022650"/>
          <a:ext cx="2258700" cy="951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Sort By Release Date</a:t>
          </a:r>
          <a:endParaRPr sz="1400"/>
        </a:p>
      </xdr:txBody>
    </xdr:sp>
    <xdr:clientData fLocksWithSheet="0"/>
  </xdr:oneCellAnchor>
  <xdr:oneCellAnchor>
    <xdr:from>
      <xdr:col>18</xdr:col>
      <xdr:colOff>495300</xdr:colOff>
      <xdr:row>8</xdr:row>
      <xdr:rowOff>228600</xdr:rowOff>
    </xdr:from>
    <xdr:ext cx="2085975" cy="800100"/>
    <xdr:sp>
      <xdr:nvSpPr>
        <xdr:cNvPr id="5" name="Shape 5"/>
        <xdr:cNvSpPr/>
      </xdr:nvSpPr>
      <xdr:spPr>
        <a:xfrm>
          <a:off x="3775450" y="2933500"/>
          <a:ext cx="2496600" cy="951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Sort Sheet By IMDB Rating</a:t>
          </a:r>
          <a:endParaRPr sz="1400"/>
        </a:p>
      </xdr:txBody>
    </xdr:sp>
    <xdr:clientData fLocksWithSheet="0"/>
  </xdr:oneCellAnchor>
  <xdr:oneCellAnchor>
    <xdr:from>
      <xdr:col>18</xdr:col>
      <xdr:colOff>514350</xdr:colOff>
      <xdr:row>12</xdr:row>
      <xdr:rowOff>28575</xdr:rowOff>
    </xdr:from>
    <xdr:ext cx="2066925" cy="800100"/>
    <xdr:sp>
      <xdr:nvSpPr>
        <xdr:cNvPr id="6" name="Shape 6"/>
        <xdr:cNvSpPr/>
      </xdr:nvSpPr>
      <xdr:spPr>
        <a:xfrm>
          <a:off x="3626850" y="3012750"/>
          <a:ext cx="2407500" cy="951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Sort Sheet By Rating</a:t>
          </a:r>
          <a:endParaRPr sz="1400"/>
        </a:p>
      </xdr:txBody>
    </xdr:sp>
    <xdr:clientData fLocksWithSheet="0"/>
  </xdr:oneCellAnchor>
  <xdr:oneCellAnchor>
    <xdr:from>
      <xdr:col>18</xdr:col>
      <xdr:colOff>514350</xdr:colOff>
      <xdr:row>15</xdr:row>
      <xdr:rowOff>114300</xdr:rowOff>
    </xdr:from>
    <xdr:ext cx="2066925" cy="904875"/>
    <xdr:grpSp>
      <xdr:nvGrpSpPr>
        <xdr:cNvPr id="2" name="Shape 2" title="Drawing"/>
        <xdr:cNvGrpSpPr/>
      </xdr:nvGrpSpPr>
      <xdr:grpSpPr>
        <a:xfrm>
          <a:off x="2314425" y="1817025"/>
          <a:ext cx="2344800" cy="1040400"/>
          <a:chOff x="2314425" y="1817025"/>
          <a:chExt cx="2344800" cy="1040400"/>
        </a:xfrm>
      </xdr:grpSpPr>
      <xdr:sp>
        <xdr:nvSpPr>
          <xdr:cNvPr id="7" name="Shape 7"/>
          <xdr:cNvSpPr/>
        </xdr:nvSpPr>
        <xdr:spPr>
          <a:xfrm>
            <a:off x="2314425" y="1817025"/>
            <a:ext cx="2344800" cy="1040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781375" y="2137125"/>
            <a:ext cx="1410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Sort by Name</a:t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53" displayName="Movies" name="Movies" id="1">
  <tableColumns count="18">
    <tableColumn name="Movie Name" id="1"/>
    <tableColumn name="Release Date" id="2"/>
    <tableColumn name="Genre" id="3"/>
    <tableColumn name="IMDB" id="4"/>
    <tableColumn name="Rotten" id="5"/>
    <tableColumn name="Final Score" id="6"/>
    <tableColumn name="Protagonist" id="7"/>
    <tableColumn name="Antagonist" id="8"/>
    <tableColumn name="Soundtrack" id="9"/>
    <tableColumn name="Set Design" id="10"/>
    <tableColumn name="Plot" id="11"/>
    <tableColumn name="Ending" id="12"/>
    <tableColumn name="Runtime" id="13"/>
    <tableColumn name="Date Watched" id="14"/>
    <tableColumn name="Style" id="15"/>
    <tableColumn name="Show or Movie" id="16"/>
    <tableColumn name="Diff IMDB" id="17"/>
    <tableColumn name="Diff Rotten" id="18"/>
  </tableColumns>
  <tableStyleInfo name="Mov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8.88"/>
    <col customWidth="1" min="3" max="3" width="23.0"/>
    <col customWidth="1" min="4" max="4" width="8.5"/>
    <col customWidth="1" min="5" max="5" width="13.63"/>
    <col customWidth="1" min="6" max="6" width="17.13"/>
    <col customWidth="1" min="14" max="14" width="15.5"/>
    <col customWidth="1" min="16" max="16" width="10.38"/>
    <col customWidth="1" min="17" max="17" width="15.88"/>
    <col customWidth="1" min="18" max="18" width="13.5"/>
  </cols>
  <sheetData>
    <row r="1" ht="22.5" customHeight="1">
      <c r="A1" s="21" t="s">
        <v>7</v>
      </c>
      <c r="B1" s="21" t="s">
        <v>8</v>
      </c>
      <c r="C1" s="23" t="s">
        <v>9</v>
      </c>
      <c r="D1" s="25" t="s">
        <v>10</v>
      </c>
      <c r="E1" s="26" t="s">
        <v>11</v>
      </c>
      <c r="F1" s="23" t="s">
        <v>12</v>
      </c>
      <c r="G1" s="23" t="s">
        <v>13</v>
      </c>
      <c r="H1" s="23" t="s">
        <v>14</v>
      </c>
      <c r="I1" s="23" t="s">
        <v>15</v>
      </c>
      <c r="J1" s="23" t="s">
        <v>16</v>
      </c>
      <c r="K1" s="23" t="s">
        <v>17</v>
      </c>
      <c r="L1" s="23" t="s">
        <v>18</v>
      </c>
      <c r="M1" s="23" t="s">
        <v>19</v>
      </c>
      <c r="N1" s="26" t="s">
        <v>20</v>
      </c>
      <c r="O1" s="21" t="s">
        <v>21</v>
      </c>
      <c r="P1" s="23" t="s">
        <v>22</v>
      </c>
      <c r="Q1" s="26" t="s">
        <v>23</v>
      </c>
      <c r="R1" s="26" t="s">
        <v>24</v>
      </c>
    </row>
    <row r="2" ht="22.5" customHeight="1">
      <c r="A2" s="32" t="s">
        <v>26</v>
      </c>
      <c r="B2" s="33" t="s">
        <v>27</v>
      </c>
      <c r="C2" s="35" t="s">
        <v>28</v>
      </c>
      <c r="D2" s="36">
        <v>8.5</v>
      </c>
      <c r="E2" s="37">
        <v>0.92</v>
      </c>
      <c r="F2" s="38">
        <v>9.833333333333334</v>
      </c>
      <c r="G2" s="39">
        <v>9.8</v>
      </c>
      <c r="H2" s="41">
        <v>9.6</v>
      </c>
      <c r="I2" s="41">
        <v>10.0</v>
      </c>
      <c r="J2" s="41">
        <v>10.0</v>
      </c>
      <c r="K2" s="41">
        <v>9.8</v>
      </c>
      <c r="L2" s="41">
        <v>9.8</v>
      </c>
      <c r="M2" s="43" t="s">
        <v>29</v>
      </c>
      <c r="N2" s="44">
        <v>45625.0</v>
      </c>
      <c r="O2" s="36" t="s">
        <v>30</v>
      </c>
      <c r="P2" s="36" t="s">
        <v>31</v>
      </c>
      <c r="Q2" s="45"/>
      <c r="R2" s="45"/>
    </row>
    <row r="3" ht="22.5" customHeight="1">
      <c r="A3" s="32" t="s">
        <v>32</v>
      </c>
      <c r="B3" s="33" t="s">
        <v>33</v>
      </c>
      <c r="C3" s="35" t="s">
        <v>34</v>
      </c>
      <c r="D3" s="36">
        <v>8.7</v>
      </c>
      <c r="E3" s="37">
        <v>0.73</v>
      </c>
      <c r="F3" s="38">
        <v>9.816666666666668</v>
      </c>
      <c r="G3" s="39">
        <v>10.0</v>
      </c>
      <c r="H3" s="36">
        <v>9.5</v>
      </c>
      <c r="I3" s="36">
        <v>10.0</v>
      </c>
      <c r="J3" s="36">
        <v>10.0</v>
      </c>
      <c r="K3" s="36">
        <v>9.7</v>
      </c>
      <c r="L3" s="36">
        <v>9.7</v>
      </c>
      <c r="M3" s="43" t="s">
        <v>35</v>
      </c>
      <c r="N3" s="44">
        <v>45608.0</v>
      </c>
      <c r="O3" s="50" t="s">
        <v>30</v>
      </c>
      <c r="P3" s="36" t="s">
        <v>31</v>
      </c>
      <c r="Q3" s="45"/>
      <c r="R3" s="45"/>
    </row>
    <row r="4" ht="22.5" customHeight="1">
      <c r="A4" s="32" t="s">
        <v>36</v>
      </c>
      <c r="B4" s="33" t="s">
        <v>37</v>
      </c>
      <c r="C4" s="35" t="s">
        <v>28</v>
      </c>
      <c r="D4" s="36">
        <v>8.5</v>
      </c>
      <c r="E4" s="37">
        <v>0.8</v>
      </c>
      <c r="F4" s="38">
        <v>9.633333333333333</v>
      </c>
      <c r="G4" s="39">
        <v>10.0</v>
      </c>
      <c r="H4" s="41">
        <v>9.1</v>
      </c>
      <c r="I4" s="41">
        <v>9.8</v>
      </c>
      <c r="J4" s="41">
        <v>9.2</v>
      </c>
      <c r="K4" s="41">
        <v>9.7</v>
      </c>
      <c r="L4" s="41">
        <v>10.0</v>
      </c>
      <c r="M4" s="43" t="s">
        <v>38</v>
      </c>
      <c r="N4" s="44">
        <v>45627.0</v>
      </c>
      <c r="O4" s="36" t="s">
        <v>30</v>
      </c>
      <c r="P4" s="36" t="s">
        <v>31</v>
      </c>
      <c r="Q4" s="45"/>
      <c r="R4" s="45"/>
    </row>
    <row r="5" ht="22.5" customHeight="1">
      <c r="A5" s="32" t="s">
        <v>39</v>
      </c>
      <c r="B5" s="33" t="s">
        <v>40</v>
      </c>
      <c r="C5" s="35" t="s">
        <v>41</v>
      </c>
      <c r="D5" s="36">
        <v>6.3</v>
      </c>
      <c r="E5" s="37">
        <v>0.36</v>
      </c>
      <c r="F5" s="38">
        <v>9.616666666666665</v>
      </c>
      <c r="G5" s="39">
        <v>9.5</v>
      </c>
      <c r="H5" s="36">
        <v>9.4</v>
      </c>
      <c r="I5" s="36">
        <v>10.0</v>
      </c>
      <c r="J5" s="36">
        <v>9.9</v>
      </c>
      <c r="K5" s="36">
        <v>9.5</v>
      </c>
      <c r="L5" s="36">
        <v>9.4</v>
      </c>
      <c r="M5" s="43" t="s">
        <v>42</v>
      </c>
      <c r="N5" s="44">
        <v>45625.0</v>
      </c>
      <c r="O5" s="50" t="s">
        <v>30</v>
      </c>
      <c r="P5" s="36" t="s">
        <v>31</v>
      </c>
      <c r="Q5" s="45"/>
      <c r="R5" s="45"/>
    </row>
    <row r="6" ht="22.5" customHeight="1">
      <c r="A6" s="32" t="s">
        <v>43</v>
      </c>
      <c r="B6" s="33" t="s">
        <v>44</v>
      </c>
      <c r="C6" s="35" t="s">
        <v>45</v>
      </c>
      <c r="D6" s="36">
        <v>8.5</v>
      </c>
      <c r="E6" s="37">
        <v>0.77</v>
      </c>
      <c r="F6" s="38">
        <v>9.533333333333333</v>
      </c>
      <c r="G6" s="39">
        <v>9.4</v>
      </c>
      <c r="H6" s="41">
        <v>9.4</v>
      </c>
      <c r="I6" s="41">
        <v>9.3</v>
      </c>
      <c r="J6" s="41">
        <v>9.2</v>
      </c>
      <c r="K6" s="41">
        <v>9.9</v>
      </c>
      <c r="L6" s="41">
        <v>10.0</v>
      </c>
      <c r="M6" s="43" t="s">
        <v>46</v>
      </c>
      <c r="N6" s="44">
        <v>45808.0</v>
      </c>
      <c r="O6" s="36" t="s">
        <v>30</v>
      </c>
      <c r="P6" s="36" t="s">
        <v>31</v>
      </c>
      <c r="Q6" s="45"/>
      <c r="R6" s="45"/>
    </row>
    <row r="7" ht="22.5" customHeight="1">
      <c r="A7" s="36" t="s">
        <v>47</v>
      </c>
      <c r="B7" s="33" t="s">
        <v>48</v>
      </c>
      <c r="C7" s="35" t="s">
        <v>49</v>
      </c>
      <c r="D7" s="36">
        <v>8.6</v>
      </c>
      <c r="E7" s="37">
        <v>0.84</v>
      </c>
      <c r="F7" s="38">
        <v>9.516666666666667</v>
      </c>
      <c r="G7" s="39">
        <v>9.3</v>
      </c>
      <c r="H7" s="36">
        <v>10.0</v>
      </c>
      <c r="I7" s="36">
        <v>8.5</v>
      </c>
      <c r="J7" s="36">
        <v>9.3</v>
      </c>
      <c r="K7" s="36">
        <v>10.0</v>
      </c>
      <c r="L7" s="36">
        <v>10.0</v>
      </c>
      <c r="M7" s="43" t="s">
        <v>50</v>
      </c>
      <c r="N7" s="44">
        <v>46042.0</v>
      </c>
      <c r="O7" s="50" t="s">
        <v>30</v>
      </c>
      <c r="P7" s="36" t="s">
        <v>31</v>
      </c>
      <c r="Q7" s="45"/>
      <c r="R7" s="45"/>
    </row>
    <row r="8" ht="22.5" customHeight="1">
      <c r="A8" s="32" t="s">
        <v>51</v>
      </c>
      <c r="B8" s="33" t="s">
        <v>52</v>
      </c>
      <c r="C8" s="35" t="s">
        <v>53</v>
      </c>
      <c r="D8" s="36">
        <v>8.2</v>
      </c>
      <c r="E8" s="37">
        <v>0.88</v>
      </c>
      <c r="F8" s="38">
        <v>9.45</v>
      </c>
      <c r="G8" s="39">
        <v>9.2</v>
      </c>
      <c r="H8" s="41">
        <v>8.9</v>
      </c>
      <c r="I8" s="41">
        <v>9.7</v>
      </c>
      <c r="J8" s="41">
        <v>9.7</v>
      </c>
      <c r="K8" s="41">
        <v>9.8</v>
      </c>
      <c r="L8" s="41">
        <v>9.4</v>
      </c>
      <c r="M8" s="43" t="s">
        <v>54</v>
      </c>
      <c r="N8" s="44">
        <v>45628.0</v>
      </c>
      <c r="O8" s="36" t="s">
        <v>30</v>
      </c>
      <c r="P8" s="36" t="s">
        <v>31</v>
      </c>
      <c r="Q8" s="45"/>
      <c r="R8" s="45"/>
    </row>
    <row r="9" ht="22.5" customHeight="1">
      <c r="A9" s="32" t="s">
        <v>55</v>
      </c>
      <c r="B9" s="33" t="s">
        <v>56</v>
      </c>
      <c r="C9" s="35" t="s">
        <v>57</v>
      </c>
      <c r="D9" s="36">
        <v>8.5</v>
      </c>
      <c r="E9" s="37">
        <v>0.94</v>
      </c>
      <c r="F9" s="38">
        <v>9.433333333333332</v>
      </c>
      <c r="G9" s="39">
        <v>9.4</v>
      </c>
      <c r="H9" s="41">
        <v>10.0</v>
      </c>
      <c r="I9" s="41">
        <v>9.4</v>
      </c>
      <c r="J9" s="41">
        <v>8.5</v>
      </c>
      <c r="K9" s="41">
        <v>9.4</v>
      </c>
      <c r="L9" s="41">
        <v>9.9</v>
      </c>
      <c r="M9" s="43" t="s">
        <v>58</v>
      </c>
      <c r="N9" s="44">
        <v>45858.0</v>
      </c>
      <c r="O9" s="36" t="s">
        <v>30</v>
      </c>
      <c r="P9" s="36" t="s">
        <v>31</v>
      </c>
      <c r="Q9" s="45"/>
      <c r="R9" s="45"/>
    </row>
    <row r="10" ht="22.5" customHeight="1">
      <c r="A10" s="32" t="s">
        <v>59</v>
      </c>
      <c r="B10" s="33" t="s">
        <v>60</v>
      </c>
      <c r="C10" s="35" t="s">
        <v>41</v>
      </c>
      <c r="D10" s="36">
        <v>8.8</v>
      </c>
      <c r="E10" s="37">
        <v>0.87</v>
      </c>
      <c r="F10" s="38">
        <v>9.4</v>
      </c>
      <c r="G10" s="39">
        <v>9.0</v>
      </c>
      <c r="H10" s="41">
        <v>8.7</v>
      </c>
      <c r="I10" s="41">
        <v>10.0</v>
      </c>
      <c r="J10" s="41">
        <v>9.3</v>
      </c>
      <c r="K10" s="41">
        <v>9.7</v>
      </c>
      <c r="L10" s="41">
        <v>9.7</v>
      </c>
      <c r="M10" s="43" t="s">
        <v>61</v>
      </c>
      <c r="N10" s="44">
        <v>45608.0</v>
      </c>
      <c r="O10" s="36" t="s">
        <v>30</v>
      </c>
      <c r="P10" s="36" t="s">
        <v>31</v>
      </c>
      <c r="Q10" s="45"/>
      <c r="R10" s="45"/>
    </row>
    <row r="11" ht="22.5" customHeight="1">
      <c r="A11" s="32" t="s">
        <v>62</v>
      </c>
      <c r="B11" s="33" t="s">
        <v>63</v>
      </c>
      <c r="C11" s="35" t="s">
        <v>41</v>
      </c>
      <c r="D11" s="36">
        <v>7.9</v>
      </c>
      <c r="E11" s="37">
        <v>0.91</v>
      </c>
      <c r="F11" s="38">
        <v>9.35</v>
      </c>
      <c r="G11" s="39">
        <v>8.9</v>
      </c>
      <c r="H11" s="41">
        <v>9.5</v>
      </c>
      <c r="I11" s="41">
        <v>8.4</v>
      </c>
      <c r="J11" s="41">
        <v>9.5</v>
      </c>
      <c r="K11" s="41">
        <v>9.9</v>
      </c>
      <c r="L11" s="41">
        <v>9.9</v>
      </c>
      <c r="M11" s="43" t="s">
        <v>64</v>
      </c>
      <c r="N11" s="44">
        <v>45628.0</v>
      </c>
      <c r="O11" s="36" t="s">
        <v>30</v>
      </c>
      <c r="P11" s="36" t="s">
        <v>31</v>
      </c>
      <c r="Q11" s="45"/>
      <c r="R11" s="45"/>
    </row>
    <row r="12" ht="22.5" customHeight="1">
      <c r="A12" s="32" t="s">
        <v>65</v>
      </c>
      <c r="B12" s="33" t="s">
        <v>66</v>
      </c>
      <c r="C12" s="35" t="s">
        <v>34</v>
      </c>
      <c r="D12" s="36">
        <v>8.0</v>
      </c>
      <c r="E12" s="37">
        <v>0.91</v>
      </c>
      <c r="F12" s="38">
        <v>9.266666666666667</v>
      </c>
      <c r="G12" s="39">
        <v>9.3</v>
      </c>
      <c r="H12" s="41">
        <v>9.2</v>
      </c>
      <c r="I12" s="41">
        <v>9.5</v>
      </c>
      <c r="J12" s="36">
        <v>9.2</v>
      </c>
      <c r="K12" s="41">
        <v>9.3</v>
      </c>
      <c r="L12" s="41">
        <v>9.1</v>
      </c>
      <c r="M12" s="43" t="s">
        <v>67</v>
      </c>
      <c r="N12" s="44">
        <v>45874.0</v>
      </c>
      <c r="O12" s="36" t="s">
        <v>30</v>
      </c>
      <c r="P12" s="36" t="s">
        <v>31</v>
      </c>
      <c r="Q12" s="45"/>
      <c r="R12" s="45"/>
    </row>
    <row r="13" ht="22.5" customHeight="1">
      <c r="A13" s="32" t="s">
        <v>68</v>
      </c>
      <c r="B13" s="33" t="s">
        <v>69</v>
      </c>
      <c r="C13" s="35" t="s">
        <v>28</v>
      </c>
      <c r="D13" s="36">
        <v>6.5</v>
      </c>
      <c r="E13" s="37">
        <v>0.7</v>
      </c>
      <c r="F13" s="38">
        <v>9.266666666666667</v>
      </c>
      <c r="G13" s="39">
        <v>9.3</v>
      </c>
      <c r="H13" s="41">
        <v>8.7</v>
      </c>
      <c r="I13" s="41">
        <v>9.3</v>
      </c>
      <c r="J13" s="41">
        <v>9.6</v>
      </c>
      <c r="K13" s="41">
        <v>9.6</v>
      </c>
      <c r="L13" s="41">
        <v>9.1</v>
      </c>
      <c r="M13" s="43" t="s">
        <v>61</v>
      </c>
      <c r="N13" s="44">
        <v>45627.0</v>
      </c>
      <c r="O13" s="36" t="s">
        <v>30</v>
      </c>
      <c r="P13" s="36" t="s">
        <v>31</v>
      </c>
      <c r="Q13" s="45"/>
      <c r="R13" s="45"/>
    </row>
    <row r="14" ht="22.5" customHeight="1">
      <c r="A14" s="32" t="s">
        <v>70</v>
      </c>
      <c r="B14" s="33" t="s">
        <v>71</v>
      </c>
      <c r="C14" s="35" t="s">
        <v>72</v>
      </c>
      <c r="D14" s="36">
        <v>8.0</v>
      </c>
      <c r="E14" s="37">
        <v>0.91</v>
      </c>
      <c r="F14" s="38">
        <v>9.25</v>
      </c>
      <c r="G14" s="39">
        <v>9.1</v>
      </c>
      <c r="H14" s="36">
        <v>9.5</v>
      </c>
      <c r="I14" s="36">
        <v>8.7</v>
      </c>
      <c r="J14" s="36">
        <v>8.5</v>
      </c>
      <c r="K14" s="36">
        <v>9.7</v>
      </c>
      <c r="L14" s="36">
        <v>10.0</v>
      </c>
      <c r="M14" s="43" t="s">
        <v>73</v>
      </c>
      <c r="N14" s="44">
        <v>45627.0</v>
      </c>
      <c r="O14" s="50" t="s">
        <v>30</v>
      </c>
      <c r="P14" s="36" t="s">
        <v>31</v>
      </c>
      <c r="Q14" s="45"/>
      <c r="R14" s="45"/>
    </row>
    <row r="15" ht="22.5" customHeight="1">
      <c r="A15" s="32" t="s">
        <v>74</v>
      </c>
      <c r="B15" s="33" t="s">
        <v>75</v>
      </c>
      <c r="C15" s="35" t="s">
        <v>76</v>
      </c>
      <c r="D15" s="36">
        <v>8.0</v>
      </c>
      <c r="E15" s="37">
        <v>0.78</v>
      </c>
      <c r="F15" s="38">
        <v>9.25</v>
      </c>
      <c r="G15" s="39">
        <v>10.0</v>
      </c>
      <c r="H15" s="41">
        <v>9.8</v>
      </c>
      <c r="I15" s="41">
        <v>7.8</v>
      </c>
      <c r="J15" s="41">
        <v>10.0</v>
      </c>
      <c r="K15" s="41">
        <v>8.5</v>
      </c>
      <c r="L15" s="41">
        <v>9.4</v>
      </c>
      <c r="M15" s="43" t="s">
        <v>77</v>
      </c>
      <c r="N15" s="44">
        <v>46178.0</v>
      </c>
      <c r="O15" s="36" t="s">
        <v>30</v>
      </c>
      <c r="P15" s="36" t="s">
        <v>31</v>
      </c>
      <c r="Q15" s="45"/>
      <c r="R15" s="45"/>
    </row>
    <row r="16" ht="22.5" customHeight="1">
      <c r="A16" s="32" t="s">
        <v>78</v>
      </c>
      <c r="B16" s="33" t="s">
        <v>79</v>
      </c>
      <c r="C16" s="35" t="s">
        <v>80</v>
      </c>
      <c r="D16" s="36">
        <v>9.1</v>
      </c>
      <c r="E16" s="37">
        <v>0.94</v>
      </c>
      <c r="F16" s="38">
        <v>9.233333333333334</v>
      </c>
      <c r="G16" s="39">
        <v>9.3</v>
      </c>
      <c r="H16" s="36">
        <v>9.6</v>
      </c>
      <c r="I16" s="36">
        <v>9.5</v>
      </c>
      <c r="J16" s="36">
        <v>8.8</v>
      </c>
      <c r="K16" s="36">
        <v>9.2</v>
      </c>
      <c r="L16" s="36">
        <v>9.0</v>
      </c>
      <c r="M16" s="43" t="s">
        <v>81</v>
      </c>
      <c r="N16" s="44">
        <v>45778.0</v>
      </c>
      <c r="O16" s="50" t="s">
        <v>30</v>
      </c>
      <c r="P16" s="36" t="s">
        <v>31</v>
      </c>
      <c r="Q16" s="45"/>
      <c r="R16" s="45"/>
    </row>
    <row r="17" ht="22.5" customHeight="1">
      <c r="A17" s="32" t="s">
        <v>82</v>
      </c>
      <c r="B17" s="33" t="s">
        <v>83</v>
      </c>
      <c r="C17" s="35" t="s">
        <v>84</v>
      </c>
      <c r="D17" s="36">
        <v>9.0</v>
      </c>
      <c r="E17" s="37">
        <v>0.94</v>
      </c>
      <c r="F17" s="38">
        <v>9.233333333333333</v>
      </c>
      <c r="G17" s="39">
        <v>9.4</v>
      </c>
      <c r="H17" s="36">
        <v>9.5</v>
      </c>
      <c r="I17" s="36">
        <v>9.7</v>
      </c>
      <c r="J17" s="36">
        <v>9.2</v>
      </c>
      <c r="K17" s="36">
        <v>8.7</v>
      </c>
      <c r="L17" s="36">
        <v>8.9</v>
      </c>
      <c r="M17" s="43" t="s">
        <v>85</v>
      </c>
      <c r="N17" s="44">
        <v>45949.0</v>
      </c>
      <c r="O17" s="50" t="s">
        <v>30</v>
      </c>
      <c r="P17" s="36" t="s">
        <v>31</v>
      </c>
      <c r="Q17" s="45"/>
      <c r="R17" s="45"/>
    </row>
    <row r="18" ht="22.5" customHeight="1">
      <c r="A18" s="32" t="s">
        <v>86</v>
      </c>
      <c r="B18" s="33" t="s">
        <v>87</v>
      </c>
      <c r="C18" s="35" t="s">
        <v>41</v>
      </c>
      <c r="D18" s="36">
        <v>8.4</v>
      </c>
      <c r="E18" s="37">
        <v>0.94</v>
      </c>
      <c r="F18" s="38">
        <v>9.233333333333333</v>
      </c>
      <c r="G18" s="39">
        <v>9.4</v>
      </c>
      <c r="H18" s="41">
        <v>9.5</v>
      </c>
      <c r="I18" s="41">
        <v>9.4</v>
      </c>
      <c r="J18" s="41">
        <v>9.4</v>
      </c>
      <c r="K18" s="41">
        <v>8.5</v>
      </c>
      <c r="L18" s="41">
        <v>9.2</v>
      </c>
      <c r="M18" s="43" t="s">
        <v>88</v>
      </c>
      <c r="N18" s="44">
        <v>45628.0</v>
      </c>
      <c r="O18" s="50" t="s">
        <v>30</v>
      </c>
      <c r="P18" s="36" t="s">
        <v>31</v>
      </c>
      <c r="Q18" s="45"/>
      <c r="R18" s="45"/>
    </row>
    <row r="19" ht="22.5" customHeight="1">
      <c r="A19" s="32" t="s">
        <v>89</v>
      </c>
      <c r="B19" s="33" t="s">
        <v>90</v>
      </c>
      <c r="C19" s="35" t="s">
        <v>91</v>
      </c>
      <c r="D19" s="36">
        <v>8.1</v>
      </c>
      <c r="E19" s="37">
        <v>0.99</v>
      </c>
      <c r="F19" s="38">
        <v>9.233333333333333</v>
      </c>
      <c r="G19" s="39">
        <v>9.4</v>
      </c>
      <c r="H19" s="41">
        <v>8.6</v>
      </c>
      <c r="I19" s="41">
        <v>10.0</v>
      </c>
      <c r="J19" s="41">
        <v>7.9</v>
      </c>
      <c r="K19" s="41">
        <v>9.7</v>
      </c>
      <c r="L19" s="41">
        <v>9.8</v>
      </c>
      <c r="M19" s="43" t="s">
        <v>92</v>
      </c>
      <c r="N19" s="44">
        <v>45646.0</v>
      </c>
      <c r="O19" s="36" t="s">
        <v>93</v>
      </c>
      <c r="P19" s="36" t="s">
        <v>31</v>
      </c>
      <c r="Q19" s="45"/>
      <c r="R19" s="45"/>
    </row>
    <row r="20" ht="22.5" customHeight="1">
      <c r="A20" s="36" t="s">
        <v>94</v>
      </c>
      <c r="B20" s="33" t="s">
        <v>95</v>
      </c>
      <c r="C20" s="35" t="s">
        <v>96</v>
      </c>
      <c r="D20" s="36">
        <v>7.8</v>
      </c>
      <c r="E20" s="37">
        <v>0.95</v>
      </c>
      <c r="F20" s="38">
        <v>9.216666666666667</v>
      </c>
      <c r="G20" s="39">
        <v>9.7</v>
      </c>
      <c r="H20" s="41">
        <v>10.0</v>
      </c>
      <c r="I20" s="41">
        <v>8.2</v>
      </c>
      <c r="J20" s="41">
        <v>8.5</v>
      </c>
      <c r="K20" s="41">
        <v>9.5</v>
      </c>
      <c r="L20" s="41">
        <v>9.4</v>
      </c>
      <c r="M20" s="43" t="s">
        <v>97</v>
      </c>
      <c r="N20" s="44">
        <v>46243.0</v>
      </c>
      <c r="O20" s="50" t="s">
        <v>30</v>
      </c>
      <c r="P20" s="36" t="s">
        <v>31</v>
      </c>
      <c r="Q20" s="45"/>
      <c r="R20" s="45"/>
    </row>
    <row r="21" ht="22.5" customHeight="1">
      <c r="A21" s="32" t="s">
        <v>98</v>
      </c>
      <c r="B21" s="33" t="s">
        <v>99</v>
      </c>
      <c r="C21" s="35" t="s">
        <v>100</v>
      </c>
      <c r="D21" s="36">
        <v>8.2</v>
      </c>
      <c r="E21" s="37">
        <v>0.93</v>
      </c>
      <c r="F21" s="38">
        <v>9.2</v>
      </c>
      <c r="G21" s="39">
        <v>9.0</v>
      </c>
      <c r="H21" s="41">
        <v>9.0</v>
      </c>
      <c r="I21" s="41">
        <v>8.7</v>
      </c>
      <c r="J21" s="41">
        <v>9.1</v>
      </c>
      <c r="K21" s="41">
        <v>9.5</v>
      </c>
      <c r="L21" s="41">
        <v>9.9</v>
      </c>
      <c r="M21" s="43" t="s">
        <v>61</v>
      </c>
      <c r="N21" s="44">
        <v>45628.0</v>
      </c>
      <c r="O21" s="36" t="s">
        <v>30</v>
      </c>
      <c r="P21" s="36" t="s">
        <v>31</v>
      </c>
      <c r="Q21" s="45"/>
      <c r="R21" s="45"/>
    </row>
    <row r="22" ht="22.5" customHeight="1">
      <c r="A22" s="32" t="s">
        <v>101</v>
      </c>
      <c r="B22" s="33" t="s">
        <v>102</v>
      </c>
      <c r="C22" s="35" t="s">
        <v>103</v>
      </c>
      <c r="D22" s="36">
        <v>8.3</v>
      </c>
      <c r="E22" s="37">
        <v>0.94</v>
      </c>
      <c r="F22" s="38">
        <v>9.2</v>
      </c>
      <c r="G22" s="39">
        <v>9.1</v>
      </c>
      <c r="H22" s="41">
        <v>8.5</v>
      </c>
      <c r="I22" s="41">
        <v>9.4</v>
      </c>
      <c r="J22" s="41">
        <v>9.8</v>
      </c>
      <c r="K22" s="41">
        <v>9.3</v>
      </c>
      <c r="L22" s="41">
        <v>9.1</v>
      </c>
      <c r="M22" s="43" t="s">
        <v>77</v>
      </c>
      <c r="N22" s="44">
        <v>46187.0</v>
      </c>
      <c r="O22" s="36"/>
      <c r="P22" s="36"/>
      <c r="Q22" s="45"/>
      <c r="R22" s="45"/>
    </row>
    <row r="23" ht="22.5" customHeight="1">
      <c r="A23" s="32" t="s">
        <v>104</v>
      </c>
      <c r="B23" s="33" t="s">
        <v>105</v>
      </c>
      <c r="C23" s="35" t="s">
        <v>106</v>
      </c>
      <c r="D23" s="36">
        <v>8.3</v>
      </c>
      <c r="E23" s="37">
        <v>0.93</v>
      </c>
      <c r="F23" s="38">
        <v>9.133333333333333</v>
      </c>
      <c r="G23" s="39">
        <v>9.3</v>
      </c>
      <c r="H23" s="41">
        <v>8.8</v>
      </c>
      <c r="I23" s="41">
        <v>9.7</v>
      </c>
      <c r="J23" s="41">
        <v>8.9</v>
      </c>
      <c r="K23" s="41">
        <v>9.3</v>
      </c>
      <c r="L23" s="41">
        <v>8.8</v>
      </c>
      <c r="M23" s="43" t="s">
        <v>107</v>
      </c>
      <c r="N23" s="44">
        <v>45628.0</v>
      </c>
      <c r="O23" s="36" t="s">
        <v>30</v>
      </c>
      <c r="P23" s="36" t="s">
        <v>31</v>
      </c>
      <c r="Q23" s="45"/>
      <c r="R23" s="45"/>
    </row>
    <row r="24" ht="22.5" customHeight="1">
      <c r="A24" s="32" t="s">
        <v>108</v>
      </c>
      <c r="B24" s="33" t="s">
        <v>109</v>
      </c>
      <c r="C24" s="35" t="s">
        <v>41</v>
      </c>
      <c r="D24" s="36">
        <v>8.4</v>
      </c>
      <c r="E24" s="37">
        <v>0.85</v>
      </c>
      <c r="F24" s="38">
        <v>9.049999999999999</v>
      </c>
      <c r="G24" s="39">
        <v>9.4</v>
      </c>
      <c r="H24" s="41">
        <v>9.5</v>
      </c>
      <c r="I24" s="41">
        <v>9.3</v>
      </c>
      <c r="J24" s="41">
        <v>9.1</v>
      </c>
      <c r="K24" s="41">
        <v>8.5</v>
      </c>
      <c r="L24" s="41">
        <v>8.5</v>
      </c>
      <c r="M24" s="43" t="s">
        <v>110</v>
      </c>
      <c r="N24" s="44">
        <v>45628.0</v>
      </c>
      <c r="O24" s="36" t="s">
        <v>30</v>
      </c>
      <c r="P24" s="36" t="s">
        <v>31</v>
      </c>
      <c r="Q24" s="45"/>
      <c r="R24" s="45"/>
    </row>
    <row r="25" ht="22.5" customHeight="1">
      <c r="A25" s="32" t="s">
        <v>111</v>
      </c>
      <c r="B25" s="33" t="s">
        <v>112</v>
      </c>
      <c r="C25" s="35" t="s">
        <v>84</v>
      </c>
      <c r="D25" s="36">
        <v>8.8</v>
      </c>
      <c r="E25" s="37">
        <v>0.95</v>
      </c>
      <c r="F25" s="38">
        <v>9.016666666666667</v>
      </c>
      <c r="G25" s="39">
        <v>9.4</v>
      </c>
      <c r="H25" s="36">
        <v>9.3</v>
      </c>
      <c r="I25" s="36">
        <v>9.1</v>
      </c>
      <c r="J25" s="36">
        <v>9.0</v>
      </c>
      <c r="K25" s="36">
        <v>8.7</v>
      </c>
      <c r="L25" s="36">
        <v>8.6</v>
      </c>
      <c r="M25" s="43" t="s">
        <v>113</v>
      </c>
      <c r="N25" s="44">
        <v>45948.0</v>
      </c>
      <c r="O25" s="50" t="s">
        <v>30</v>
      </c>
      <c r="P25" s="36" t="s">
        <v>31</v>
      </c>
      <c r="Q25" s="45"/>
      <c r="R25" s="45"/>
    </row>
    <row r="26" ht="22.5" customHeight="1">
      <c r="A26" s="32" t="s">
        <v>114</v>
      </c>
      <c r="B26" s="33" t="s">
        <v>115</v>
      </c>
      <c r="C26" s="35" t="s">
        <v>116</v>
      </c>
      <c r="D26" s="36">
        <v>7.6</v>
      </c>
      <c r="E26" s="37">
        <v>0.97</v>
      </c>
      <c r="F26" s="38">
        <v>9.016666666666667</v>
      </c>
      <c r="G26" s="39">
        <v>8.8</v>
      </c>
      <c r="H26" s="41">
        <v>8.8</v>
      </c>
      <c r="I26" s="41">
        <v>8.9</v>
      </c>
      <c r="J26" s="41">
        <v>8.2</v>
      </c>
      <c r="K26" s="41">
        <v>9.6</v>
      </c>
      <c r="L26" s="41">
        <v>9.8</v>
      </c>
      <c r="M26" s="43" t="s">
        <v>42</v>
      </c>
      <c r="N26" s="44">
        <v>45765.0</v>
      </c>
      <c r="O26" s="36" t="s">
        <v>30</v>
      </c>
      <c r="P26" s="36" t="s">
        <v>31</v>
      </c>
      <c r="Q26" s="45"/>
      <c r="R26" s="45"/>
    </row>
    <row r="27" ht="22.5" customHeight="1">
      <c r="A27" s="32" t="s">
        <v>117</v>
      </c>
      <c r="B27" s="33" t="s">
        <v>118</v>
      </c>
      <c r="C27" s="35" t="s">
        <v>119</v>
      </c>
      <c r="D27" s="36">
        <v>7.6</v>
      </c>
      <c r="E27" s="37">
        <v>0.87</v>
      </c>
      <c r="F27" s="38">
        <v>9.0</v>
      </c>
      <c r="G27" s="39">
        <v>8.7</v>
      </c>
      <c r="H27" s="41">
        <v>8.7</v>
      </c>
      <c r="I27" s="41">
        <v>8.8</v>
      </c>
      <c r="J27" s="41">
        <v>8.7</v>
      </c>
      <c r="K27" s="41">
        <v>9.5</v>
      </c>
      <c r="L27" s="41">
        <v>9.6</v>
      </c>
      <c r="M27" s="43" t="s">
        <v>120</v>
      </c>
      <c r="N27" s="44">
        <v>45874.0</v>
      </c>
      <c r="O27" s="36" t="s">
        <v>30</v>
      </c>
      <c r="P27" s="36" t="s">
        <v>31</v>
      </c>
      <c r="Q27" s="45"/>
      <c r="R27" s="45"/>
    </row>
    <row r="28" ht="22.5" customHeight="1">
      <c r="A28" s="32" t="s">
        <v>121</v>
      </c>
      <c r="B28" s="33" t="s">
        <v>122</v>
      </c>
      <c r="C28" s="35" t="s">
        <v>34</v>
      </c>
      <c r="D28" s="36">
        <v>6.0</v>
      </c>
      <c r="E28" s="37">
        <v>0.91</v>
      </c>
      <c r="F28" s="38">
        <v>9.0</v>
      </c>
      <c r="G28" s="39">
        <v>8.9</v>
      </c>
      <c r="H28" s="41">
        <v>9.4</v>
      </c>
      <c r="I28" s="36">
        <v>8.7</v>
      </c>
      <c r="J28" s="41">
        <v>10.0</v>
      </c>
      <c r="K28" s="36">
        <v>8.3</v>
      </c>
      <c r="L28" s="36">
        <v>8.7</v>
      </c>
      <c r="M28" s="43" t="s">
        <v>123</v>
      </c>
      <c r="N28" s="44">
        <v>46086.0</v>
      </c>
      <c r="O28" s="36" t="s">
        <v>30</v>
      </c>
      <c r="P28" s="36" t="s">
        <v>31</v>
      </c>
      <c r="Q28" s="45"/>
      <c r="R28" s="45"/>
    </row>
    <row r="29" ht="22.5" customHeight="1">
      <c r="A29" s="32" t="s">
        <v>124</v>
      </c>
      <c r="B29" s="33" t="s">
        <v>125</v>
      </c>
      <c r="C29" s="35" t="s">
        <v>91</v>
      </c>
      <c r="D29" s="36">
        <v>7.8</v>
      </c>
      <c r="E29" s="37">
        <v>0.92</v>
      </c>
      <c r="F29" s="38">
        <v>8.999999999999998</v>
      </c>
      <c r="G29" s="39">
        <v>9.2</v>
      </c>
      <c r="H29" s="41">
        <v>9.1</v>
      </c>
      <c r="I29" s="41">
        <v>9.5</v>
      </c>
      <c r="J29" s="41">
        <v>8.9</v>
      </c>
      <c r="K29" s="41">
        <v>8.4</v>
      </c>
      <c r="L29" s="41">
        <v>8.9</v>
      </c>
      <c r="M29" s="43" t="s">
        <v>126</v>
      </c>
      <c r="N29" s="44">
        <v>45925.0</v>
      </c>
      <c r="O29" s="36" t="s">
        <v>30</v>
      </c>
      <c r="P29" s="36" t="s">
        <v>31</v>
      </c>
      <c r="Q29" s="45"/>
      <c r="R29" s="45"/>
    </row>
    <row r="30" ht="22.5" customHeight="1">
      <c r="A30" s="32" t="s">
        <v>127</v>
      </c>
      <c r="B30" s="33" t="s">
        <v>128</v>
      </c>
      <c r="C30" s="35" t="s">
        <v>129</v>
      </c>
      <c r="D30" s="36">
        <v>7.3</v>
      </c>
      <c r="E30" s="37">
        <v>0.7</v>
      </c>
      <c r="F30" s="38">
        <v>8.983333333333333</v>
      </c>
      <c r="G30" s="39">
        <v>8.4</v>
      </c>
      <c r="H30" s="41">
        <v>7.9</v>
      </c>
      <c r="I30" s="41">
        <v>9.2</v>
      </c>
      <c r="J30" s="41">
        <v>9.6</v>
      </c>
      <c r="K30" s="41">
        <v>9.7</v>
      </c>
      <c r="L30" s="41">
        <v>9.1</v>
      </c>
      <c r="M30" s="43" t="s">
        <v>130</v>
      </c>
      <c r="N30" s="44">
        <v>45608.0</v>
      </c>
      <c r="O30" s="50" t="s">
        <v>30</v>
      </c>
      <c r="P30" s="36" t="s">
        <v>31</v>
      </c>
      <c r="Q30" s="45"/>
      <c r="R30" s="45"/>
    </row>
    <row r="31" ht="22.5" customHeight="1">
      <c r="A31" s="36" t="s">
        <v>131</v>
      </c>
      <c r="B31" s="33" t="s">
        <v>132</v>
      </c>
      <c r="C31" s="35" t="s">
        <v>133</v>
      </c>
      <c r="D31" s="36">
        <v>8.1</v>
      </c>
      <c r="E31" s="37">
        <v>0.94</v>
      </c>
      <c r="F31" s="38">
        <v>8.966666666666667</v>
      </c>
      <c r="G31" s="39">
        <v>9.5</v>
      </c>
      <c r="H31" s="41">
        <v>9.3</v>
      </c>
      <c r="I31" s="41">
        <v>8.0</v>
      </c>
      <c r="J31" s="41">
        <v>7.5</v>
      </c>
      <c r="K31" s="41">
        <v>9.8</v>
      </c>
      <c r="L31" s="41">
        <v>9.7</v>
      </c>
      <c r="M31" s="43" t="s">
        <v>134</v>
      </c>
      <c r="N31" s="44">
        <v>46245.0</v>
      </c>
      <c r="O31" s="50" t="s">
        <v>30</v>
      </c>
      <c r="P31" s="36" t="s">
        <v>31</v>
      </c>
      <c r="Q31" s="45"/>
      <c r="R31" s="45"/>
    </row>
    <row r="32" ht="22.5" customHeight="1">
      <c r="A32" s="32" t="s">
        <v>135</v>
      </c>
      <c r="B32" s="33" t="s">
        <v>66</v>
      </c>
      <c r="C32" s="35" t="s">
        <v>80</v>
      </c>
      <c r="D32" s="36">
        <v>7.7</v>
      </c>
      <c r="E32" s="37">
        <v>0.92</v>
      </c>
      <c r="F32" s="38">
        <v>8.9</v>
      </c>
      <c r="G32" s="39">
        <v>8.9</v>
      </c>
      <c r="H32" s="41">
        <v>9.2</v>
      </c>
      <c r="I32" s="41">
        <v>8.4</v>
      </c>
      <c r="J32" s="41">
        <v>8.7</v>
      </c>
      <c r="K32" s="41">
        <v>9.3</v>
      </c>
      <c r="L32" s="41">
        <v>8.9</v>
      </c>
      <c r="M32" s="43" t="s">
        <v>136</v>
      </c>
      <c r="N32" s="44">
        <v>45863.0</v>
      </c>
      <c r="O32" s="36" t="s">
        <v>30</v>
      </c>
      <c r="P32" s="36" t="s">
        <v>31</v>
      </c>
      <c r="Q32" s="45"/>
      <c r="R32" s="45"/>
    </row>
    <row r="33" ht="22.5" customHeight="1">
      <c r="A33" s="32" t="s">
        <v>137</v>
      </c>
      <c r="B33" s="33" t="s">
        <v>138</v>
      </c>
      <c r="C33" s="35" t="s">
        <v>84</v>
      </c>
      <c r="D33" s="36">
        <v>8.9</v>
      </c>
      <c r="E33" s="37">
        <v>0.92</v>
      </c>
      <c r="F33" s="38">
        <v>8.899999999999999</v>
      </c>
      <c r="G33" s="39">
        <v>9.3</v>
      </c>
      <c r="H33" s="41">
        <v>8.6</v>
      </c>
      <c r="I33" s="41">
        <v>9.9</v>
      </c>
      <c r="J33" s="41">
        <v>8.8</v>
      </c>
      <c r="K33" s="41">
        <v>8.3</v>
      </c>
      <c r="L33" s="41">
        <v>8.5</v>
      </c>
      <c r="M33" s="43" t="s">
        <v>139</v>
      </c>
      <c r="N33" s="44">
        <v>45948.0</v>
      </c>
      <c r="O33" s="36" t="s">
        <v>30</v>
      </c>
      <c r="P33" s="36" t="s">
        <v>31</v>
      </c>
      <c r="Q33" s="45"/>
      <c r="R33" s="45"/>
    </row>
    <row r="34" ht="22.5" customHeight="1">
      <c r="A34" s="36" t="s">
        <v>140</v>
      </c>
      <c r="B34" s="33" t="s">
        <v>141</v>
      </c>
      <c r="C34" s="35" t="s">
        <v>49</v>
      </c>
      <c r="D34" s="36">
        <v>8.1</v>
      </c>
      <c r="E34" s="37"/>
      <c r="F34" s="38">
        <v>8.883333333333333</v>
      </c>
      <c r="G34" s="39">
        <v>8.7</v>
      </c>
      <c r="H34" s="41">
        <v>8.6</v>
      </c>
      <c r="I34" s="41">
        <v>8.5</v>
      </c>
      <c r="J34" s="41">
        <v>7.9</v>
      </c>
      <c r="K34" s="41">
        <v>9.6</v>
      </c>
      <c r="L34" s="41">
        <v>10.0</v>
      </c>
      <c r="M34" s="43" t="s">
        <v>142</v>
      </c>
      <c r="N34" s="44">
        <v>45875.0</v>
      </c>
      <c r="O34" s="50" t="s">
        <v>30</v>
      </c>
      <c r="P34" s="36" t="s">
        <v>31</v>
      </c>
      <c r="Q34" s="45"/>
      <c r="R34" s="45"/>
    </row>
    <row r="35" ht="22.5" customHeight="1">
      <c r="A35" s="32" t="s">
        <v>143</v>
      </c>
      <c r="B35" s="33" t="s">
        <v>144</v>
      </c>
      <c r="C35" s="35" t="s">
        <v>80</v>
      </c>
      <c r="D35" s="36">
        <v>7.3</v>
      </c>
      <c r="E35" s="37">
        <v>0.53</v>
      </c>
      <c r="F35" s="38">
        <v>8.883333333333333</v>
      </c>
      <c r="G35" s="39">
        <v>9.5</v>
      </c>
      <c r="H35" s="41">
        <v>9.2</v>
      </c>
      <c r="I35" s="41">
        <v>7.7</v>
      </c>
      <c r="J35" s="41">
        <v>8.6</v>
      </c>
      <c r="K35" s="41">
        <v>9.4</v>
      </c>
      <c r="L35" s="41">
        <v>8.9</v>
      </c>
      <c r="M35" s="43" t="s">
        <v>73</v>
      </c>
      <c r="N35" s="44">
        <v>45863.0</v>
      </c>
      <c r="O35" s="50" t="s">
        <v>30</v>
      </c>
      <c r="P35" s="36" t="s">
        <v>31</v>
      </c>
      <c r="Q35" s="45"/>
      <c r="R35" s="45"/>
    </row>
    <row r="36" ht="22.5" customHeight="1">
      <c r="A36" s="32" t="s">
        <v>145</v>
      </c>
      <c r="B36" s="33" t="s">
        <v>146</v>
      </c>
      <c r="C36" s="35" t="s">
        <v>147</v>
      </c>
      <c r="D36" s="36">
        <v>8.6</v>
      </c>
      <c r="E36" s="37">
        <v>0.94</v>
      </c>
      <c r="F36" s="38">
        <v>8.85</v>
      </c>
      <c r="G36" s="39">
        <v>8.8</v>
      </c>
      <c r="H36" s="36">
        <v>8.8</v>
      </c>
      <c r="I36" s="36">
        <v>8.8</v>
      </c>
      <c r="J36" s="36">
        <v>8.8</v>
      </c>
      <c r="K36" s="36">
        <v>9.3</v>
      </c>
      <c r="L36" s="36">
        <v>8.6</v>
      </c>
      <c r="M36" s="43" t="s">
        <v>35</v>
      </c>
      <c r="N36" s="44">
        <v>45646.0</v>
      </c>
      <c r="O36" s="36" t="s">
        <v>30</v>
      </c>
      <c r="P36" s="36" t="s">
        <v>31</v>
      </c>
      <c r="Q36" s="45"/>
      <c r="R36" s="45"/>
    </row>
    <row r="37" ht="22.5" customHeight="1">
      <c r="A37" s="32" t="s">
        <v>148</v>
      </c>
      <c r="B37" s="33" t="s">
        <v>149</v>
      </c>
      <c r="C37" s="35" t="s">
        <v>133</v>
      </c>
      <c r="D37" s="36">
        <v>8.3</v>
      </c>
      <c r="E37" s="37">
        <v>0.97</v>
      </c>
      <c r="F37" s="38">
        <v>8.833333333333334</v>
      </c>
      <c r="G37" s="39">
        <v>9.7</v>
      </c>
      <c r="H37" s="41">
        <v>9.7</v>
      </c>
      <c r="I37" s="41">
        <v>7.1</v>
      </c>
      <c r="J37" s="41">
        <v>7.2</v>
      </c>
      <c r="K37" s="41">
        <v>9.6</v>
      </c>
      <c r="L37" s="41">
        <v>9.7</v>
      </c>
      <c r="M37" s="43" t="s">
        <v>150</v>
      </c>
      <c r="N37" s="44">
        <v>45874.0</v>
      </c>
      <c r="O37" s="50" t="s">
        <v>30</v>
      </c>
      <c r="P37" s="36" t="s">
        <v>31</v>
      </c>
      <c r="Q37" s="45"/>
      <c r="R37" s="45"/>
    </row>
    <row r="38" ht="22.5" customHeight="1">
      <c r="A38" s="32" t="s">
        <v>151</v>
      </c>
      <c r="B38" s="33" t="s">
        <v>152</v>
      </c>
      <c r="C38" s="35" t="s">
        <v>41</v>
      </c>
      <c r="D38" s="36">
        <v>6.9</v>
      </c>
      <c r="E38" s="37">
        <v>0.72</v>
      </c>
      <c r="F38" s="38">
        <v>8.833333333333334</v>
      </c>
      <c r="G38" s="39">
        <v>8.8</v>
      </c>
      <c r="H38" s="41">
        <v>8.8</v>
      </c>
      <c r="I38" s="41">
        <v>8.7</v>
      </c>
      <c r="J38" s="41">
        <v>9.4</v>
      </c>
      <c r="K38" s="41">
        <v>9.2</v>
      </c>
      <c r="L38" s="41">
        <v>8.1</v>
      </c>
      <c r="M38" s="43" t="s">
        <v>153</v>
      </c>
      <c r="N38" s="44">
        <v>45625.0</v>
      </c>
      <c r="O38" s="36" t="s">
        <v>30</v>
      </c>
      <c r="P38" s="36" t="s">
        <v>31</v>
      </c>
      <c r="Q38" s="45"/>
      <c r="R38" s="45"/>
    </row>
    <row r="39" ht="22.5" customHeight="1">
      <c r="A39" s="32" t="s">
        <v>154</v>
      </c>
      <c r="B39" s="33" t="s">
        <v>155</v>
      </c>
      <c r="C39" s="35" t="s">
        <v>156</v>
      </c>
      <c r="D39" s="36">
        <v>8.0</v>
      </c>
      <c r="E39" s="37">
        <v>0.95</v>
      </c>
      <c r="F39" s="38">
        <v>8.799999999999999</v>
      </c>
      <c r="G39" s="39">
        <v>8.8</v>
      </c>
      <c r="H39" s="41">
        <v>9.3</v>
      </c>
      <c r="I39" s="41">
        <v>7.5</v>
      </c>
      <c r="J39" s="41">
        <v>8.9</v>
      </c>
      <c r="K39" s="41">
        <v>9.0</v>
      </c>
      <c r="L39" s="41">
        <v>9.3</v>
      </c>
      <c r="M39" s="43" t="s">
        <v>150</v>
      </c>
      <c r="N39" s="44">
        <v>45997.0</v>
      </c>
      <c r="O39" s="36" t="s">
        <v>30</v>
      </c>
      <c r="P39" s="36" t="s">
        <v>31</v>
      </c>
      <c r="Q39" s="45"/>
      <c r="R39" s="45"/>
    </row>
    <row r="40" ht="22.5" customHeight="1">
      <c r="A40" s="32" t="s">
        <v>157</v>
      </c>
      <c r="B40" s="33" t="s">
        <v>158</v>
      </c>
      <c r="C40" s="35" t="s">
        <v>159</v>
      </c>
      <c r="D40" s="36">
        <v>8.0</v>
      </c>
      <c r="E40" s="37">
        <v>0.88</v>
      </c>
      <c r="F40" s="38">
        <v>8.799999999999999</v>
      </c>
      <c r="G40" s="39">
        <v>8.5</v>
      </c>
      <c r="H40" s="41">
        <v>8.7</v>
      </c>
      <c r="I40" s="41">
        <v>7.8</v>
      </c>
      <c r="J40" s="41">
        <v>9.1</v>
      </c>
      <c r="K40" s="41">
        <v>8.9</v>
      </c>
      <c r="L40" s="41">
        <v>9.8</v>
      </c>
      <c r="M40" s="43" t="s">
        <v>160</v>
      </c>
      <c r="N40" s="44">
        <v>45747.0</v>
      </c>
      <c r="O40" s="36" t="s">
        <v>30</v>
      </c>
      <c r="P40" s="36" t="s">
        <v>31</v>
      </c>
      <c r="Q40" s="45"/>
      <c r="R40" s="45"/>
    </row>
    <row r="41" ht="22.5" customHeight="1">
      <c r="A41" s="32" t="s">
        <v>161</v>
      </c>
      <c r="B41" s="33" t="s">
        <v>162</v>
      </c>
      <c r="C41" s="35" t="s">
        <v>163</v>
      </c>
      <c r="D41" s="36">
        <v>8.0</v>
      </c>
      <c r="E41" s="37">
        <v>0.9</v>
      </c>
      <c r="F41" s="38">
        <v>8.766666666666667</v>
      </c>
      <c r="G41" s="39">
        <v>8.9</v>
      </c>
      <c r="H41" s="41">
        <v>8.1</v>
      </c>
      <c r="I41" s="41">
        <v>9.2</v>
      </c>
      <c r="J41" s="41">
        <v>8.4</v>
      </c>
      <c r="K41" s="41">
        <v>9.1</v>
      </c>
      <c r="L41" s="41">
        <v>8.9</v>
      </c>
      <c r="M41" s="43" t="s">
        <v>123</v>
      </c>
      <c r="N41" s="44">
        <v>45874.0</v>
      </c>
      <c r="O41" s="36" t="s">
        <v>30</v>
      </c>
      <c r="P41" s="36" t="s">
        <v>31</v>
      </c>
      <c r="Q41" s="45"/>
      <c r="R41" s="45"/>
    </row>
    <row r="42" ht="22.5" customHeight="1">
      <c r="A42" s="32" t="s">
        <v>164</v>
      </c>
      <c r="B42" s="33" t="s">
        <v>165</v>
      </c>
      <c r="C42" s="35" t="s">
        <v>166</v>
      </c>
      <c r="D42" s="36">
        <v>7.5</v>
      </c>
      <c r="E42" s="37">
        <v>0.78</v>
      </c>
      <c r="F42" s="38">
        <v>8.75</v>
      </c>
      <c r="G42" s="39">
        <v>8.9</v>
      </c>
      <c r="H42" s="41">
        <v>7.5</v>
      </c>
      <c r="I42" s="41">
        <v>9.3</v>
      </c>
      <c r="J42" s="41">
        <v>8.7</v>
      </c>
      <c r="K42" s="41">
        <v>8.9</v>
      </c>
      <c r="L42" s="41">
        <v>9.2</v>
      </c>
      <c r="M42" s="43" t="s">
        <v>73</v>
      </c>
      <c r="N42" s="44">
        <v>45625.0</v>
      </c>
      <c r="O42" s="36" t="s">
        <v>30</v>
      </c>
      <c r="P42" s="36" t="s">
        <v>31</v>
      </c>
      <c r="Q42" s="45"/>
      <c r="R42" s="45"/>
    </row>
    <row r="43" ht="22.5" customHeight="1">
      <c r="A43" s="32" t="s">
        <v>167</v>
      </c>
      <c r="B43" s="33" t="s">
        <v>168</v>
      </c>
      <c r="C43" s="35" t="s">
        <v>166</v>
      </c>
      <c r="D43" s="36">
        <v>7.8</v>
      </c>
      <c r="E43" s="37">
        <v>0.94</v>
      </c>
      <c r="F43" s="38">
        <v>8.733333333333333</v>
      </c>
      <c r="G43" s="39">
        <v>8.7</v>
      </c>
      <c r="H43" s="36">
        <v>8.8</v>
      </c>
      <c r="I43" s="36">
        <v>7.7</v>
      </c>
      <c r="J43" s="36">
        <v>9.1</v>
      </c>
      <c r="K43" s="36">
        <v>8.9</v>
      </c>
      <c r="L43" s="36">
        <v>9.2</v>
      </c>
      <c r="M43" s="43" t="s">
        <v>169</v>
      </c>
      <c r="N43" s="44">
        <v>45874.0</v>
      </c>
      <c r="O43" s="36" t="s">
        <v>30</v>
      </c>
      <c r="P43" s="36" t="s">
        <v>31</v>
      </c>
      <c r="Q43" s="45"/>
      <c r="R43" s="45"/>
    </row>
    <row r="44" ht="22.5" customHeight="1">
      <c r="A44" s="32" t="s">
        <v>170</v>
      </c>
      <c r="B44" s="33" t="s">
        <v>171</v>
      </c>
      <c r="C44" s="35" t="s">
        <v>80</v>
      </c>
      <c r="D44" s="36">
        <v>7.7</v>
      </c>
      <c r="E44" s="37">
        <v>0.94</v>
      </c>
      <c r="F44" s="38">
        <v>8.733333333333333</v>
      </c>
      <c r="G44" s="39">
        <v>8.9</v>
      </c>
      <c r="H44" s="36">
        <v>9.3</v>
      </c>
      <c r="I44" s="36">
        <v>9.0</v>
      </c>
      <c r="J44" s="36">
        <v>8.6</v>
      </c>
      <c r="K44" s="36">
        <v>8.7</v>
      </c>
      <c r="L44" s="36">
        <v>7.9</v>
      </c>
      <c r="M44" s="43" t="s">
        <v>172</v>
      </c>
      <c r="N44" s="44">
        <v>46153.0</v>
      </c>
      <c r="O44" s="50" t="s">
        <v>30</v>
      </c>
      <c r="P44" s="36" t="s">
        <v>31</v>
      </c>
      <c r="Q44" s="45"/>
      <c r="R44" s="45"/>
    </row>
    <row r="45" ht="22.5" customHeight="1">
      <c r="A45" s="32" t="s">
        <v>173</v>
      </c>
      <c r="B45" s="33" t="s">
        <v>174</v>
      </c>
      <c r="C45" s="35" t="s">
        <v>41</v>
      </c>
      <c r="D45" s="36">
        <v>6.3</v>
      </c>
      <c r="E45" s="37">
        <v>0.78</v>
      </c>
      <c r="F45" s="38">
        <v>8.683333333333335</v>
      </c>
      <c r="G45" s="39">
        <v>7.2</v>
      </c>
      <c r="H45" s="36">
        <v>9.4</v>
      </c>
      <c r="I45" s="36">
        <v>8.2</v>
      </c>
      <c r="J45" s="36">
        <v>8.8</v>
      </c>
      <c r="K45" s="36">
        <v>9.3</v>
      </c>
      <c r="L45" s="36">
        <v>9.2</v>
      </c>
      <c r="M45" s="43" t="s">
        <v>175</v>
      </c>
      <c r="N45" s="44">
        <v>45689.0</v>
      </c>
      <c r="O45" s="50" t="s">
        <v>30</v>
      </c>
      <c r="P45" s="36" t="s">
        <v>31</v>
      </c>
      <c r="Q45" s="45"/>
      <c r="R45" s="45"/>
    </row>
    <row r="46" ht="22.5" customHeight="1">
      <c r="A46" s="32" t="s">
        <v>176</v>
      </c>
      <c r="B46" s="33" t="s">
        <v>177</v>
      </c>
      <c r="C46" s="35" t="s">
        <v>178</v>
      </c>
      <c r="D46" s="36">
        <v>8.2</v>
      </c>
      <c r="E46" s="37">
        <v>0.77</v>
      </c>
      <c r="F46" s="38">
        <v>8.683333333333332</v>
      </c>
      <c r="G46" s="39">
        <v>8.7</v>
      </c>
      <c r="H46" s="41">
        <v>9.1</v>
      </c>
      <c r="I46" s="41">
        <v>8.5</v>
      </c>
      <c r="J46" s="41">
        <v>8.2</v>
      </c>
      <c r="K46" s="41">
        <v>8.8</v>
      </c>
      <c r="L46" s="41">
        <v>8.8</v>
      </c>
      <c r="M46" s="43" t="s">
        <v>46</v>
      </c>
      <c r="N46" s="44">
        <v>45874.0</v>
      </c>
      <c r="O46" s="36" t="s">
        <v>30</v>
      </c>
      <c r="P46" s="36" t="s">
        <v>31</v>
      </c>
      <c r="Q46" s="45"/>
      <c r="R46" s="45"/>
    </row>
    <row r="47" ht="22.5" customHeight="1">
      <c r="A47" s="32" t="s">
        <v>179</v>
      </c>
      <c r="B47" s="33" t="s">
        <v>180</v>
      </c>
      <c r="C47" s="35" t="s">
        <v>181</v>
      </c>
      <c r="D47" s="36">
        <v>7.6</v>
      </c>
      <c r="E47" s="37">
        <v>0.8</v>
      </c>
      <c r="F47" s="38">
        <v>8.683333333333332</v>
      </c>
      <c r="G47" s="39">
        <v>8.8</v>
      </c>
      <c r="H47" s="41">
        <v>7.9</v>
      </c>
      <c r="I47" s="41">
        <v>9.6</v>
      </c>
      <c r="J47" s="41">
        <v>9.2</v>
      </c>
      <c r="K47" s="41">
        <v>7.8</v>
      </c>
      <c r="L47" s="41">
        <v>8.8</v>
      </c>
      <c r="M47" s="43" t="s">
        <v>182</v>
      </c>
      <c r="N47" s="44">
        <v>46159.0</v>
      </c>
      <c r="O47" s="36" t="s">
        <v>30</v>
      </c>
      <c r="P47" s="36" t="s">
        <v>31</v>
      </c>
      <c r="Q47" s="45"/>
      <c r="R47" s="45"/>
    </row>
    <row r="48" ht="22.5" customHeight="1">
      <c r="A48" s="32" t="s">
        <v>183</v>
      </c>
      <c r="B48" s="33" t="s">
        <v>184</v>
      </c>
      <c r="C48" s="35" t="s">
        <v>185</v>
      </c>
      <c r="D48" s="36">
        <v>8.1</v>
      </c>
      <c r="E48" s="37">
        <v>0.84</v>
      </c>
      <c r="F48" s="38">
        <v>8.666666666666666</v>
      </c>
      <c r="G48" s="39">
        <v>9.1</v>
      </c>
      <c r="H48" s="41">
        <v>8.8</v>
      </c>
      <c r="I48" s="41">
        <v>7.8</v>
      </c>
      <c r="J48" s="41">
        <v>8.6</v>
      </c>
      <c r="K48" s="41">
        <v>8.7</v>
      </c>
      <c r="L48" s="41">
        <v>9.0</v>
      </c>
      <c r="M48" s="43" t="s">
        <v>186</v>
      </c>
      <c r="N48" s="44">
        <v>46187.0</v>
      </c>
      <c r="O48" s="36"/>
      <c r="P48" s="36"/>
      <c r="Q48" s="45"/>
      <c r="R48" s="45"/>
    </row>
    <row r="49" ht="22.5" customHeight="1">
      <c r="A49" s="32" t="s">
        <v>187</v>
      </c>
      <c r="B49" s="33" t="s">
        <v>188</v>
      </c>
      <c r="C49" s="35" t="s">
        <v>119</v>
      </c>
      <c r="D49" s="36">
        <v>8.1</v>
      </c>
      <c r="E49" s="37">
        <v>0.92</v>
      </c>
      <c r="F49" s="38">
        <v>8.65</v>
      </c>
      <c r="G49" s="39">
        <v>8.7</v>
      </c>
      <c r="H49" s="41">
        <v>7.7</v>
      </c>
      <c r="I49" s="41">
        <v>8.2</v>
      </c>
      <c r="J49" s="41">
        <v>8.9</v>
      </c>
      <c r="K49" s="41">
        <v>8.8</v>
      </c>
      <c r="L49" s="36">
        <v>9.6</v>
      </c>
      <c r="M49" s="43" t="s">
        <v>81</v>
      </c>
      <c r="N49" s="44">
        <v>45874.0</v>
      </c>
      <c r="O49" s="36" t="s">
        <v>30</v>
      </c>
      <c r="P49" s="36" t="s">
        <v>31</v>
      </c>
      <c r="Q49" s="45"/>
      <c r="R49" s="45"/>
    </row>
    <row r="50" ht="22.5" customHeight="1">
      <c r="A50" s="32" t="s">
        <v>189</v>
      </c>
      <c r="B50" s="33" t="s">
        <v>190</v>
      </c>
      <c r="C50" s="35" t="s">
        <v>191</v>
      </c>
      <c r="D50" s="36">
        <v>8.0</v>
      </c>
      <c r="E50" s="37">
        <v>0.85</v>
      </c>
      <c r="F50" s="38">
        <v>8.65</v>
      </c>
      <c r="G50" s="39">
        <v>9.4</v>
      </c>
      <c r="H50" s="36">
        <v>8.9</v>
      </c>
      <c r="I50" s="36">
        <v>8.5</v>
      </c>
      <c r="J50" s="36">
        <v>7.6</v>
      </c>
      <c r="K50" s="36">
        <v>8.9</v>
      </c>
      <c r="L50" s="36">
        <v>8.6</v>
      </c>
      <c r="M50" s="43" t="s">
        <v>192</v>
      </c>
      <c r="N50" s="44">
        <v>45646.0</v>
      </c>
      <c r="O50" s="50" t="s">
        <v>30</v>
      </c>
      <c r="P50" s="36" t="s">
        <v>31</v>
      </c>
      <c r="Q50" s="45"/>
      <c r="R50" s="45"/>
    </row>
    <row r="51" ht="22.5" customHeight="1">
      <c r="A51" s="36" t="s">
        <v>193</v>
      </c>
      <c r="B51" s="33" t="s">
        <v>194</v>
      </c>
      <c r="C51" s="35" t="s">
        <v>129</v>
      </c>
      <c r="D51" s="36">
        <v>7.1</v>
      </c>
      <c r="E51" s="37">
        <v>0.94</v>
      </c>
      <c r="F51" s="38">
        <v>8.65</v>
      </c>
      <c r="G51" s="39">
        <v>8.5</v>
      </c>
      <c r="H51" s="36">
        <v>8.6</v>
      </c>
      <c r="I51" s="36">
        <v>7.6</v>
      </c>
      <c r="J51" s="36">
        <v>8.8</v>
      </c>
      <c r="K51" s="36">
        <v>9.1</v>
      </c>
      <c r="L51" s="36">
        <v>9.3</v>
      </c>
      <c r="M51" s="43" t="s">
        <v>150</v>
      </c>
      <c r="N51" s="44">
        <v>45670.0</v>
      </c>
      <c r="O51" s="50" t="s">
        <v>30</v>
      </c>
      <c r="P51" s="36" t="s">
        <v>31</v>
      </c>
      <c r="Q51" s="45"/>
      <c r="R51" s="45"/>
    </row>
    <row r="52" ht="22.5" customHeight="1">
      <c r="A52" s="32" t="s">
        <v>195</v>
      </c>
      <c r="B52" s="33" t="s">
        <v>196</v>
      </c>
      <c r="C52" s="35" t="s">
        <v>197</v>
      </c>
      <c r="D52" s="36">
        <v>6.5</v>
      </c>
      <c r="E52" s="37">
        <v>0.88</v>
      </c>
      <c r="F52" s="38">
        <v>8.65</v>
      </c>
      <c r="G52" s="39">
        <v>9.1</v>
      </c>
      <c r="H52" s="41">
        <v>9.1</v>
      </c>
      <c r="I52" s="41">
        <v>8.6</v>
      </c>
      <c r="J52" s="41">
        <v>7.8</v>
      </c>
      <c r="K52" s="41">
        <v>8.7</v>
      </c>
      <c r="L52" s="41">
        <v>8.6</v>
      </c>
      <c r="M52" s="43" t="s">
        <v>54</v>
      </c>
      <c r="N52" s="44">
        <v>45661.0</v>
      </c>
      <c r="O52" s="50" t="s">
        <v>30</v>
      </c>
      <c r="P52" s="36" t="s">
        <v>31</v>
      </c>
      <c r="Q52" s="45"/>
      <c r="R52" s="45"/>
    </row>
    <row r="53" ht="22.5" customHeight="1">
      <c r="A53" s="36" t="s">
        <v>198</v>
      </c>
      <c r="B53" s="33" t="s">
        <v>199</v>
      </c>
      <c r="C53" s="35" t="s">
        <v>200</v>
      </c>
      <c r="D53" s="36">
        <v>8.0</v>
      </c>
      <c r="E53" s="37">
        <v>0.91</v>
      </c>
      <c r="F53" s="38">
        <v>8.633333333333335</v>
      </c>
      <c r="G53" s="39">
        <v>8.8</v>
      </c>
      <c r="H53" s="41">
        <v>8.7</v>
      </c>
      <c r="I53" s="41">
        <v>8.3</v>
      </c>
      <c r="J53" s="41">
        <v>8.6</v>
      </c>
      <c r="K53" s="41">
        <v>8.8</v>
      </c>
      <c r="L53" s="41">
        <v>8.6</v>
      </c>
      <c r="M53" s="43" t="s">
        <v>201</v>
      </c>
      <c r="N53" s="44">
        <v>45646.0</v>
      </c>
      <c r="O53" s="50" t="s">
        <v>30</v>
      </c>
      <c r="P53" s="36" t="s">
        <v>31</v>
      </c>
      <c r="Q53" s="45"/>
      <c r="R53" s="45"/>
    </row>
    <row r="54" ht="22.5" customHeight="1">
      <c r="A54" s="32" t="s">
        <v>202</v>
      </c>
      <c r="B54" s="33" t="s">
        <v>203</v>
      </c>
      <c r="C54" s="35" t="s">
        <v>166</v>
      </c>
      <c r="D54" s="36">
        <v>7.4</v>
      </c>
      <c r="E54" s="37">
        <v>0.91</v>
      </c>
      <c r="F54" s="38">
        <v>8.633333333333333</v>
      </c>
      <c r="G54" s="39">
        <v>9.1</v>
      </c>
      <c r="H54" s="41">
        <v>8.9</v>
      </c>
      <c r="I54" s="41">
        <v>8.5</v>
      </c>
      <c r="J54" s="41">
        <v>8.3</v>
      </c>
      <c r="K54" s="36">
        <v>8.5</v>
      </c>
      <c r="L54" s="41">
        <v>8.5</v>
      </c>
      <c r="M54" s="43" t="s">
        <v>204</v>
      </c>
      <c r="N54" s="44">
        <v>45628.0</v>
      </c>
      <c r="O54" s="36" t="s">
        <v>30</v>
      </c>
      <c r="P54" s="36" t="s">
        <v>31</v>
      </c>
      <c r="Q54" s="45"/>
      <c r="R54" s="45"/>
    </row>
    <row r="55" ht="22.5" customHeight="1">
      <c r="A55" s="32" t="s">
        <v>205</v>
      </c>
      <c r="B55" s="33" t="s">
        <v>206</v>
      </c>
      <c r="C55" s="35" t="s">
        <v>41</v>
      </c>
      <c r="D55" s="36">
        <v>7.4</v>
      </c>
      <c r="E55" s="37">
        <v>0.92</v>
      </c>
      <c r="F55" s="38">
        <v>8.616666666666667</v>
      </c>
      <c r="G55" s="39">
        <v>8.9</v>
      </c>
      <c r="H55" s="36">
        <v>8.3</v>
      </c>
      <c r="I55" s="36">
        <v>8.6</v>
      </c>
      <c r="J55" s="36">
        <v>8.7</v>
      </c>
      <c r="K55" s="36">
        <v>8.6</v>
      </c>
      <c r="L55" s="36">
        <v>8.6</v>
      </c>
      <c r="M55" s="43" t="s">
        <v>207</v>
      </c>
      <c r="N55" s="44">
        <v>45628.0</v>
      </c>
      <c r="O55" s="50" t="s">
        <v>30</v>
      </c>
      <c r="P55" s="36" t="s">
        <v>31</v>
      </c>
      <c r="Q55" s="45"/>
      <c r="R55" s="45"/>
    </row>
    <row r="56" ht="22.5" customHeight="1">
      <c r="A56" s="32" t="s">
        <v>208</v>
      </c>
      <c r="B56" s="33" t="s">
        <v>209</v>
      </c>
      <c r="C56" s="35" t="s">
        <v>133</v>
      </c>
      <c r="D56" s="36">
        <v>8.8</v>
      </c>
      <c r="E56" s="37">
        <v>0.75</v>
      </c>
      <c r="F56" s="38">
        <v>8.616666666666667</v>
      </c>
      <c r="G56" s="39">
        <v>8.9</v>
      </c>
      <c r="H56" s="41">
        <v>8.6</v>
      </c>
      <c r="I56" s="41">
        <v>7.5</v>
      </c>
      <c r="J56" s="41">
        <v>7.6</v>
      </c>
      <c r="K56" s="41">
        <v>9.5</v>
      </c>
      <c r="L56" s="41">
        <v>9.6</v>
      </c>
      <c r="M56" s="43" t="s">
        <v>210</v>
      </c>
      <c r="N56" s="44">
        <v>45646.0</v>
      </c>
      <c r="O56" s="36" t="s">
        <v>30</v>
      </c>
      <c r="P56" s="36" t="s">
        <v>31</v>
      </c>
      <c r="Q56" s="45"/>
      <c r="R56" s="45"/>
    </row>
    <row r="57" ht="22.5" customHeight="1">
      <c r="A57" s="32" t="s">
        <v>211</v>
      </c>
      <c r="B57" s="33" t="s">
        <v>212</v>
      </c>
      <c r="C57" s="35" t="s">
        <v>100</v>
      </c>
      <c r="D57" s="36">
        <v>7.5</v>
      </c>
      <c r="E57" s="37">
        <v>0.89</v>
      </c>
      <c r="F57" s="38">
        <v>8.616666666666667</v>
      </c>
      <c r="G57" s="39">
        <v>8.9</v>
      </c>
      <c r="H57" s="41">
        <v>7.7</v>
      </c>
      <c r="I57" s="41">
        <v>8.9</v>
      </c>
      <c r="J57" s="41">
        <v>9.0</v>
      </c>
      <c r="K57" s="41">
        <v>8.7</v>
      </c>
      <c r="L57" s="41">
        <v>8.5</v>
      </c>
      <c r="M57" s="43" t="s">
        <v>213</v>
      </c>
      <c r="N57" s="44">
        <v>45655.0</v>
      </c>
      <c r="O57" s="36" t="s">
        <v>30</v>
      </c>
      <c r="P57" s="36" t="s">
        <v>31</v>
      </c>
      <c r="Q57" s="45"/>
      <c r="R57" s="45"/>
    </row>
    <row r="58" ht="22.5" customHeight="1">
      <c r="A58" s="32" t="s">
        <v>214</v>
      </c>
      <c r="B58" s="33" t="s">
        <v>215</v>
      </c>
      <c r="C58" s="35" t="s">
        <v>41</v>
      </c>
      <c r="D58" s="36">
        <v>6.8</v>
      </c>
      <c r="E58" s="37">
        <v>0.51</v>
      </c>
      <c r="F58" s="38">
        <v>8.583333333333332</v>
      </c>
      <c r="G58" s="39">
        <v>8.3</v>
      </c>
      <c r="H58" s="41">
        <v>8.6</v>
      </c>
      <c r="I58" s="41">
        <v>8.7</v>
      </c>
      <c r="J58" s="41">
        <v>8.7</v>
      </c>
      <c r="K58" s="41">
        <v>8.8</v>
      </c>
      <c r="L58" s="41">
        <v>8.4</v>
      </c>
      <c r="M58" s="43" t="s">
        <v>216</v>
      </c>
      <c r="N58" s="44">
        <v>45628.0</v>
      </c>
      <c r="O58" s="36" t="s">
        <v>30</v>
      </c>
      <c r="P58" s="36" t="s">
        <v>31</v>
      </c>
      <c r="Q58" s="45"/>
      <c r="R58" s="45"/>
    </row>
    <row r="59" ht="22.5" customHeight="1">
      <c r="A59" s="32" t="s">
        <v>89</v>
      </c>
      <c r="B59" s="33" t="s">
        <v>217</v>
      </c>
      <c r="C59" s="35" t="s">
        <v>218</v>
      </c>
      <c r="D59" s="36">
        <v>7.8</v>
      </c>
      <c r="E59" s="37">
        <v>0.76</v>
      </c>
      <c r="F59" s="38">
        <v>8.566666666666666</v>
      </c>
      <c r="G59" s="39">
        <v>8.1</v>
      </c>
      <c r="H59" s="41">
        <v>7.8</v>
      </c>
      <c r="I59" s="41">
        <v>9.9</v>
      </c>
      <c r="J59" s="41">
        <v>8.9</v>
      </c>
      <c r="K59" s="41">
        <v>9.1</v>
      </c>
      <c r="L59" s="41">
        <v>7.6</v>
      </c>
      <c r="M59" s="43" t="s">
        <v>216</v>
      </c>
      <c r="N59" s="44">
        <v>45909.0</v>
      </c>
      <c r="O59" s="36" t="s">
        <v>30</v>
      </c>
      <c r="P59" s="36" t="s">
        <v>31</v>
      </c>
      <c r="Q59" s="45"/>
      <c r="R59" s="45"/>
    </row>
    <row r="60" ht="22.5" customHeight="1">
      <c r="A60" s="32" t="s">
        <v>219</v>
      </c>
      <c r="B60" s="33" t="s">
        <v>220</v>
      </c>
      <c r="C60" s="35" t="s">
        <v>221</v>
      </c>
      <c r="D60" s="36">
        <v>8.1</v>
      </c>
      <c r="E60" s="37">
        <v>0.96</v>
      </c>
      <c r="F60" s="38">
        <v>8.499999999999998</v>
      </c>
      <c r="G60" s="39">
        <v>8.7</v>
      </c>
      <c r="H60" s="41">
        <v>8.6</v>
      </c>
      <c r="I60" s="41">
        <v>7.5</v>
      </c>
      <c r="J60" s="41">
        <v>7.8</v>
      </c>
      <c r="K60" s="41">
        <v>9.5</v>
      </c>
      <c r="L60" s="41">
        <v>8.9</v>
      </c>
      <c r="M60" s="43" t="s">
        <v>222</v>
      </c>
      <c r="N60" s="44">
        <v>45647.0</v>
      </c>
      <c r="O60" s="36" t="s">
        <v>30</v>
      </c>
      <c r="P60" s="36" t="s">
        <v>31</v>
      </c>
      <c r="Q60" s="45"/>
      <c r="R60" s="45"/>
    </row>
    <row r="61" ht="22.5" customHeight="1">
      <c r="A61" s="32" t="s">
        <v>223</v>
      </c>
      <c r="B61" s="33" t="s">
        <v>224</v>
      </c>
      <c r="C61" s="35" t="s">
        <v>225</v>
      </c>
      <c r="D61" s="36">
        <v>7.8</v>
      </c>
      <c r="E61" s="37">
        <v>0.92</v>
      </c>
      <c r="F61" s="38">
        <v>8.466666666666667</v>
      </c>
      <c r="G61" s="39">
        <v>8.2</v>
      </c>
      <c r="H61" s="41">
        <v>8.3</v>
      </c>
      <c r="I61" s="41">
        <v>9.3</v>
      </c>
      <c r="J61" s="41">
        <v>9.4</v>
      </c>
      <c r="K61" s="41">
        <v>7.0</v>
      </c>
      <c r="L61" s="41">
        <v>8.6</v>
      </c>
      <c r="M61" s="43" t="s">
        <v>58</v>
      </c>
      <c r="N61" s="44">
        <v>45874.0</v>
      </c>
      <c r="O61" s="36" t="s">
        <v>30</v>
      </c>
      <c r="P61" s="36" t="s">
        <v>31</v>
      </c>
      <c r="Q61" s="45"/>
      <c r="R61" s="45"/>
    </row>
    <row r="62" ht="22.5" customHeight="1">
      <c r="A62" s="32" t="s">
        <v>226</v>
      </c>
      <c r="B62" s="33" t="s">
        <v>227</v>
      </c>
      <c r="C62" s="35" t="s">
        <v>45</v>
      </c>
      <c r="D62" s="36">
        <v>7.9</v>
      </c>
      <c r="E62" s="37">
        <v>0.94</v>
      </c>
      <c r="F62" s="38">
        <v>8.450000000000001</v>
      </c>
      <c r="G62" s="39">
        <v>7.8</v>
      </c>
      <c r="H62" s="41">
        <v>7.6</v>
      </c>
      <c r="I62" s="41">
        <v>8.8</v>
      </c>
      <c r="J62" s="41">
        <v>8.8</v>
      </c>
      <c r="K62" s="41">
        <v>8.7</v>
      </c>
      <c r="L62" s="41">
        <v>9.0</v>
      </c>
      <c r="M62" s="43" t="s">
        <v>228</v>
      </c>
      <c r="N62" s="44">
        <v>45874.0</v>
      </c>
      <c r="O62" s="36" t="s">
        <v>30</v>
      </c>
      <c r="P62" s="36" t="s">
        <v>31</v>
      </c>
      <c r="Q62" s="45"/>
      <c r="R62" s="45"/>
    </row>
    <row r="63" ht="22.5" customHeight="1">
      <c r="A63" s="32" t="s">
        <v>229</v>
      </c>
      <c r="B63" s="33" t="s">
        <v>230</v>
      </c>
      <c r="C63" s="35" t="s">
        <v>80</v>
      </c>
      <c r="D63" s="36">
        <v>7.5</v>
      </c>
      <c r="E63" s="37">
        <v>0.92</v>
      </c>
      <c r="F63" s="38">
        <v>8.450000000000001</v>
      </c>
      <c r="G63" s="39">
        <v>8.7</v>
      </c>
      <c r="H63" s="36">
        <v>7.5</v>
      </c>
      <c r="I63" s="36">
        <v>8.6</v>
      </c>
      <c r="J63" s="36">
        <v>8.5</v>
      </c>
      <c r="K63" s="36">
        <v>8.6</v>
      </c>
      <c r="L63" s="36">
        <v>8.8</v>
      </c>
      <c r="M63" s="43" t="s">
        <v>64</v>
      </c>
      <c r="N63" s="44">
        <v>45919.0</v>
      </c>
      <c r="O63" s="50" t="s">
        <v>30</v>
      </c>
      <c r="P63" s="36" t="s">
        <v>31</v>
      </c>
      <c r="Q63" s="45"/>
      <c r="R63" s="45"/>
    </row>
    <row r="64" ht="22.5" customHeight="1">
      <c r="A64" s="36" t="s">
        <v>231</v>
      </c>
      <c r="B64" s="33" t="s">
        <v>232</v>
      </c>
      <c r="C64" s="35" t="s">
        <v>53</v>
      </c>
      <c r="D64" s="36">
        <v>7.6</v>
      </c>
      <c r="E64" s="37">
        <v>0.75</v>
      </c>
      <c r="F64" s="38">
        <v>8.433333333333335</v>
      </c>
      <c r="G64" s="39">
        <v>8.8</v>
      </c>
      <c r="H64" s="36">
        <v>8.3</v>
      </c>
      <c r="I64" s="36">
        <v>7.9</v>
      </c>
      <c r="J64" s="36">
        <v>8.6</v>
      </c>
      <c r="K64" s="36">
        <v>8.8</v>
      </c>
      <c r="L64" s="36">
        <v>8.2</v>
      </c>
      <c r="M64" s="43" t="s">
        <v>120</v>
      </c>
      <c r="N64" s="44">
        <v>45646.0</v>
      </c>
      <c r="O64" s="50" t="s">
        <v>30</v>
      </c>
      <c r="P64" s="36" t="s">
        <v>31</v>
      </c>
      <c r="Q64" s="45"/>
      <c r="R64" s="45"/>
    </row>
    <row r="65" ht="22.5" customHeight="1">
      <c r="A65" s="32" t="s">
        <v>233</v>
      </c>
      <c r="B65" s="33" t="s">
        <v>234</v>
      </c>
      <c r="C65" s="35" t="s">
        <v>91</v>
      </c>
      <c r="D65" s="36">
        <v>7.4</v>
      </c>
      <c r="E65" s="37">
        <v>0.9</v>
      </c>
      <c r="F65" s="38">
        <v>8.433333333333334</v>
      </c>
      <c r="G65" s="39">
        <v>8.8</v>
      </c>
      <c r="H65" s="41">
        <v>9.1</v>
      </c>
      <c r="I65" s="41">
        <v>8.6</v>
      </c>
      <c r="J65" s="41">
        <v>8.9</v>
      </c>
      <c r="K65" s="41">
        <v>7.5</v>
      </c>
      <c r="L65" s="41">
        <v>7.7</v>
      </c>
      <c r="M65" s="43" t="s">
        <v>235</v>
      </c>
      <c r="N65" s="44">
        <v>45930.0</v>
      </c>
      <c r="O65" s="36" t="s">
        <v>93</v>
      </c>
      <c r="P65" s="36" t="s">
        <v>31</v>
      </c>
      <c r="Q65" s="45"/>
      <c r="R65" s="45"/>
    </row>
    <row r="66" ht="22.5" customHeight="1">
      <c r="A66" s="32" t="s">
        <v>236</v>
      </c>
      <c r="B66" s="33" t="s">
        <v>237</v>
      </c>
      <c r="C66" s="35" t="s">
        <v>238</v>
      </c>
      <c r="D66" s="36">
        <v>6.8</v>
      </c>
      <c r="E66" s="37">
        <v>0.66</v>
      </c>
      <c r="F66" s="38">
        <v>8.433333333333332</v>
      </c>
      <c r="G66" s="39">
        <v>8.5</v>
      </c>
      <c r="H66" s="41">
        <v>8.8</v>
      </c>
      <c r="I66" s="41">
        <v>7.9</v>
      </c>
      <c r="J66" s="41">
        <v>8.8</v>
      </c>
      <c r="K66" s="41">
        <v>8.4</v>
      </c>
      <c r="L66" s="41">
        <v>8.2</v>
      </c>
      <c r="M66" s="43" t="s">
        <v>64</v>
      </c>
      <c r="N66" s="44">
        <v>45646.0</v>
      </c>
      <c r="O66" s="36" t="s">
        <v>30</v>
      </c>
      <c r="P66" s="36" t="s">
        <v>31</v>
      </c>
      <c r="Q66" s="45"/>
      <c r="R66" s="45"/>
    </row>
    <row r="67" ht="22.5" customHeight="1">
      <c r="A67" s="32" t="s">
        <v>239</v>
      </c>
      <c r="B67" s="33" t="s">
        <v>240</v>
      </c>
      <c r="C67" s="35" t="s">
        <v>41</v>
      </c>
      <c r="D67" s="36">
        <v>8.1</v>
      </c>
      <c r="E67" s="37">
        <v>0.97</v>
      </c>
      <c r="F67" s="38">
        <v>8.433333333333332</v>
      </c>
      <c r="G67" s="39">
        <v>7.5</v>
      </c>
      <c r="H67" s="41">
        <v>8.7</v>
      </c>
      <c r="I67" s="41">
        <v>9.6</v>
      </c>
      <c r="J67" s="41">
        <v>9.8</v>
      </c>
      <c r="K67" s="41">
        <v>8.5</v>
      </c>
      <c r="L67" s="41">
        <v>6.5</v>
      </c>
      <c r="M67" s="43" t="s">
        <v>241</v>
      </c>
      <c r="N67" s="44">
        <v>45608.0</v>
      </c>
      <c r="O67" s="36" t="s">
        <v>30</v>
      </c>
      <c r="P67" s="36" t="s">
        <v>31</v>
      </c>
      <c r="Q67" s="45"/>
      <c r="R67" s="45"/>
    </row>
    <row r="68" ht="22.5" customHeight="1">
      <c r="A68" s="32" t="s">
        <v>242</v>
      </c>
      <c r="B68" s="33" t="s">
        <v>243</v>
      </c>
      <c r="C68" s="35" t="s">
        <v>185</v>
      </c>
      <c r="D68" s="36">
        <v>7.8</v>
      </c>
      <c r="E68" s="37">
        <v>0.82</v>
      </c>
      <c r="F68" s="38">
        <v>8.416666666666666</v>
      </c>
      <c r="G68" s="39">
        <v>8.8</v>
      </c>
      <c r="H68" s="41">
        <v>8.6</v>
      </c>
      <c r="I68" s="41">
        <v>8.3</v>
      </c>
      <c r="J68" s="41">
        <v>9.3</v>
      </c>
      <c r="K68" s="41">
        <v>7.6</v>
      </c>
      <c r="L68" s="41">
        <v>7.9</v>
      </c>
      <c r="M68" s="43" t="s">
        <v>38</v>
      </c>
      <c r="N68" s="44">
        <v>45920.0</v>
      </c>
      <c r="O68" s="36" t="s">
        <v>30</v>
      </c>
      <c r="P68" s="36" t="s">
        <v>31</v>
      </c>
      <c r="Q68" s="45"/>
      <c r="R68" s="45"/>
    </row>
    <row r="69" ht="22.5" customHeight="1">
      <c r="A69" s="32" t="s">
        <v>244</v>
      </c>
      <c r="B69" s="33" t="s">
        <v>245</v>
      </c>
      <c r="C69" s="35" t="s">
        <v>41</v>
      </c>
      <c r="D69" s="36">
        <v>7.3</v>
      </c>
      <c r="E69" s="37">
        <v>0.96</v>
      </c>
      <c r="F69" s="38">
        <v>8.416666666666666</v>
      </c>
      <c r="G69" s="39">
        <v>9.7</v>
      </c>
      <c r="H69" s="41">
        <v>8.6</v>
      </c>
      <c r="I69" s="41">
        <v>6.5</v>
      </c>
      <c r="J69" s="41">
        <v>8.9</v>
      </c>
      <c r="K69" s="41">
        <v>9.0</v>
      </c>
      <c r="L69" s="41">
        <v>7.8</v>
      </c>
      <c r="M69" s="43" t="s">
        <v>120</v>
      </c>
      <c r="N69" s="44">
        <v>45628.0</v>
      </c>
      <c r="O69" s="36" t="s">
        <v>30</v>
      </c>
      <c r="P69" s="36" t="s">
        <v>31</v>
      </c>
      <c r="Q69" s="45"/>
      <c r="R69" s="45"/>
    </row>
    <row r="70" ht="22.5" customHeight="1">
      <c r="A70" s="32" t="s">
        <v>246</v>
      </c>
      <c r="B70" s="33" t="s">
        <v>247</v>
      </c>
      <c r="C70" s="35" t="s">
        <v>166</v>
      </c>
      <c r="D70" s="36">
        <v>7.5</v>
      </c>
      <c r="E70" s="37">
        <v>0.82</v>
      </c>
      <c r="F70" s="38">
        <v>8.416666666666666</v>
      </c>
      <c r="G70" s="39">
        <v>9.3</v>
      </c>
      <c r="H70" s="41">
        <v>8.7</v>
      </c>
      <c r="I70" s="41">
        <v>7.3</v>
      </c>
      <c r="J70" s="41">
        <v>8.9</v>
      </c>
      <c r="K70" s="41">
        <v>8.5</v>
      </c>
      <c r="L70" s="41">
        <v>7.8</v>
      </c>
      <c r="M70" s="43" t="s">
        <v>120</v>
      </c>
      <c r="N70" s="44">
        <v>46098.0</v>
      </c>
      <c r="O70" s="36" t="s">
        <v>30</v>
      </c>
      <c r="P70" s="36" t="s">
        <v>31</v>
      </c>
      <c r="Q70" s="45"/>
      <c r="R70" s="45"/>
    </row>
    <row r="71" ht="22.5" customHeight="1">
      <c r="A71" s="32" t="s">
        <v>248</v>
      </c>
      <c r="B71" s="33" t="s">
        <v>249</v>
      </c>
      <c r="C71" s="35" t="s">
        <v>250</v>
      </c>
      <c r="D71" s="36">
        <v>8.2</v>
      </c>
      <c r="E71" s="37">
        <v>0.69</v>
      </c>
      <c r="F71" s="38">
        <v>8.366666666666667</v>
      </c>
      <c r="G71" s="39">
        <v>8.2</v>
      </c>
      <c r="H71" s="41">
        <v>8.3</v>
      </c>
      <c r="I71" s="41">
        <v>7.5</v>
      </c>
      <c r="J71" s="41">
        <v>7.5</v>
      </c>
      <c r="K71" s="41">
        <v>9.5</v>
      </c>
      <c r="L71" s="41">
        <v>9.2</v>
      </c>
      <c r="M71" s="43" t="s">
        <v>251</v>
      </c>
      <c r="N71" s="44">
        <v>45874.0</v>
      </c>
      <c r="O71" s="36" t="s">
        <v>30</v>
      </c>
      <c r="P71" s="36" t="s">
        <v>31</v>
      </c>
      <c r="Q71" s="45"/>
      <c r="R71" s="45"/>
    </row>
    <row r="72" ht="22.5" customHeight="1">
      <c r="A72" s="36" t="s">
        <v>252</v>
      </c>
      <c r="B72" s="33" t="s">
        <v>253</v>
      </c>
      <c r="C72" s="35" t="s">
        <v>254</v>
      </c>
      <c r="D72" s="36">
        <v>7.7</v>
      </c>
      <c r="E72" s="37">
        <v>0.92</v>
      </c>
      <c r="F72" s="38">
        <v>8.366666666666665</v>
      </c>
      <c r="G72" s="39">
        <v>7.6</v>
      </c>
      <c r="H72" s="36">
        <v>8.7</v>
      </c>
      <c r="I72" s="36">
        <v>8.8</v>
      </c>
      <c r="J72" s="36">
        <v>7.5</v>
      </c>
      <c r="K72" s="36">
        <v>8.8</v>
      </c>
      <c r="L72" s="36">
        <v>8.8</v>
      </c>
      <c r="M72" s="43" t="s">
        <v>192</v>
      </c>
      <c r="N72" s="44">
        <v>45676.0</v>
      </c>
      <c r="O72" s="50" t="s">
        <v>30</v>
      </c>
      <c r="P72" s="36" t="s">
        <v>31</v>
      </c>
      <c r="Q72" s="45"/>
      <c r="R72" s="45"/>
    </row>
    <row r="73" ht="22.5" customHeight="1">
      <c r="A73" s="32" t="s">
        <v>255</v>
      </c>
      <c r="B73" s="33" t="s">
        <v>256</v>
      </c>
      <c r="C73" s="35" t="s">
        <v>257</v>
      </c>
      <c r="D73" s="36">
        <v>6.7</v>
      </c>
      <c r="E73" s="37">
        <v>0.9</v>
      </c>
      <c r="F73" s="38">
        <v>8.366666666666665</v>
      </c>
      <c r="G73" s="39">
        <v>8.4</v>
      </c>
      <c r="H73" s="41">
        <v>9.1</v>
      </c>
      <c r="I73" s="41">
        <v>6.2</v>
      </c>
      <c r="J73" s="36">
        <v>8.6</v>
      </c>
      <c r="K73" s="41">
        <v>8.9</v>
      </c>
      <c r="L73" s="41">
        <v>9.0</v>
      </c>
      <c r="M73" s="43" t="s">
        <v>126</v>
      </c>
      <c r="N73" s="44">
        <v>45996.0</v>
      </c>
      <c r="O73" s="36" t="s">
        <v>30</v>
      </c>
      <c r="P73" s="36" t="s">
        <v>31</v>
      </c>
      <c r="Q73" s="45"/>
      <c r="R73" s="45"/>
    </row>
    <row r="74" ht="22.5" customHeight="1">
      <c r="A74" s="32" t="s">
        <v>258</v>
      </c>
      <c r="B74" s="33" t="s">
        <v>259</v>
      </c>
      <c r="C74" s="35" t="s">
        <v>260</v>
      </c>
      <c r="D74" s="36">
        <v>7.2</v>
      </c>
      <c r="E74" s="37">
        <v>0.88</v>
      </c>
      <c r="F74" s="38">
        <v>8.299999999999999</v>
      </c>
      <c r="G74" s="39">
        <v>8.5</v>
      </c>
      <c r="H74" s="36">
        <v>8.4</v>
      </c>
      <c r="I74" s="36">
        <v>6.5</v>
      </c>
      <c r="J74" s="36">
        <v>8.2</v>
      </c>
      <c r="K74" s="36">
        <v>8.9</v>
      </c>
      <c r="L74" s="36">
        <v>9.3</v>
      </c>
      <c r="M74" s="43" t="s">
        <v>175</v>
      </c>
      <c r="N74" s="44">
        <v>45646.0</v>
      </c>
      <c r="O74" s="50" t="s">
        <v>30</v>
      </c>
      <c r="P74" s="36" t="s">
        <v>31</v>
      </c>
      <c r="Q74" s="45"/>
      <c r="R74" s="45"/>
    </row>
    <row r="75" ht="22.5" customHeight="1">
      <c r="A75" s="32" t="s">
        <v>261</v>
      </c>
      <c r="B75" s="33" t="s">
        <v>262</v>
      </c>
      <c r="C75" s="35" t="s">
        <v>263</v>
      </c>
      <c r="D75" s="36">
        <v>7.1</v>
      </c>
      <c r="E75" s="37">
        <v>0.91</v>
      </c>
      <c r="F75" s="38">
        <v>8.283333333333333</v>
      </c>
      <c r="G75" s="39">
        <v>8.9</v>
      </c>
      <c r="H75" s="41">
        <v>8.4</v>
      </c>
      <c r="I75" s="36">
        <v>6.5</v>
      </c>
      <c r="J75" s="41">
        <v>8.8</v>
      </c>
      <c r="K75" s="41">
        <v>8.6</v>
      </c>
      <c r="L75" s="41">
        <v>8.5</v>
      </c>
      <c r="M75" s="43" t="s">
        <v>264</v>
      </c>
      <c r="N75" s="44">
        <v>46212.0</v>
      </c>
      <c r="O75" s="36" t="s">
        <v>30</v>
      </c>
      <c r="P75" s="36" t="s">
        <v>31</v>
      </c>
      <c r="Q75" s="45"/>
      <c r="R75" s="45"/>
    </row>
    <row r="76" ht="22.5" customHeight="1">
      <c r="A76" s="32" t="s">
        <v>265</v>
      </c>
      <c r="B76" s="33" t="s">
        <v>266</v>
      </c>
      <c r="C76" s="35" t="s">
        <v>200</v>
      </c>
      <c r="D76" s="36">
        <v>8.7</v>
      </c>
      <c r="E76" s="37">
        <v>0.83</v>
      </c>
      <c r="F76" s="38">
        <v>8.216666666666667</v>
      </c>
      <c r="G76" s="39">
        <v>8.8</v>
      </c>
      <c r="H76" s="41">
        <v>7.9</v>
      </c>
      <c r="I76" s="41">
        <v>8.4</v>
      </c>
      <c r="J76" s="41">
        <v>6.5</v>
      </c>
      <c r="K76" s="41">
        <v>8.9</v>
      </c>
      <c r="L76" s="41">
        <v>8.8</v>
      </c>
      <c r="M76" s="43" t="s">
        <v>267</v>
      </c>
      <c r="N76" s="44">
        <v>45670.0</v>
      </c>
      <c r="O76" s="36" t="s">
        <v>30</v>
      </c>
      <c r="P76" s="36" t="s">
        <v>31</v>
      </c>
      <c r="Q76" s="45"/>
      <c r="R76" s="45"/>
    </row>
    <row r="77" ht="22.5" customHeight="1">
      <c r="A77" s="32" t="s">
        <v>268</v>
      </c>
      <c r="B77" s="33" t="s">
        <v>269</v>
      </c>
      <c r="C77" s="35" t="s">
        <v>41</v>
      </c>
      <c r="D77" s="36">
        <v>7.2</v>
      </c>
      <c r="E77" s="37">
        <v>0.84</v>
      </c>
      <c r="F77" s="38">
        <v>8.216666666666667</v>
      </c>
      <c r="G77" s="39">
        <v>8.2</v>
      </c>
      <c r="H77" s="41">
        <v>8.5</v>
      </c>
      <c r="I77" s="41">
        <v>7.8</v>
      </c>
      <c r="J77" s="41">
        <v>8.5</v>
      </c>
      <c r="K77" s="41">
        <v>8.5</v>
      </c>
      <c r="L77" s="41">
        <v>7.8</v>
      </c>
      <c r="M77" s="43" t="s">
        <v>210</v>
      </c>
      <c r="N77" s="44">
        <v>45646.0</v>
      </c>
      <c r="O77" s="50" t="s">
        <v>30</v>
      </c>
      <c r="P77" s="36" t="s">
        <v>31</v>
      </c>
      <c r="Q77" s="45"/>
      <c r="R77" s="45"/>
    </row>
    <row r="78" ht="22.5" customHeight="1">
      <c r="A78" s="32" t="s">
        <v>270</v>
      </c>
      <c r="B78" s="33" t="s">
        <v>271</v>
      </c>
      <c r="C78" s="35" t="s">
        <v>34</v>
      </c>
      <c r="D78" s="36">
        <v>6.9</v>
      </c>
      <c r="E78" s="37">
        <v>0.74</v>
      </c>
      <c r="F78" s="38">
        <v>8.200000000000001</v>
      </c>
      <c r="G78" s="39">
        <v>9.0</v>
      </c>
      <c r="H78" s="36">
        <v>8.7</v>
      </c>
      <c r="I78" s="36">
        <v>5.8</v>
      </c>
      <c r="J78" s="36">
        <v>8.1</v>
      </c>
      <c r="K78" s="36">
        <v>8.8</v>
      </c>
      <c r="L78" s="36">
        <v>8.8</v>
      </c>
      <c r="M78" s="43" t="s">
        <v>213</v>
      </c>
      <c r="N78" s="44">
        <v>46082.0</v>
      </c>
      <c r="O78" s="36" t="s">
        <v>30</v>
      </c>
      <c r="P78" s="36" t="s">
        <v>31</v>
      </c>
      <c r="Q78" s="45"/>
      <c r="R78" s="45"/>
    </row>
    <row r="79" ht="22.5" customHeight="1">
      <c r="A79" s="36" t="s">
        <v>272</v>
      </c>
      <c r="B79" s="33" t="s">
        <v>273</v>
      </c>
      <c r="C79" s="35" t="s">
        <v>274</v>
      </c>
      <c r="D79" s="36">
        <v>8.2</v>
      </c>
      <c r="E79" s="37">
        <v>0.97</v>
      </c>
      <c r="F79" s="38">
        <v>8.183333333333332</v>
      </c>
      <c r="G79" s="39">
        <v>8.5</v>
      </c>
      <c r="H79" s="41">
        <v>7.5</v>
      </c>
      <c r="I79" s="41">
        <v>8.4</v>
      </c>
      <c r="J79" s="41">
        <v>8.6</v>
      </c>
      <c r="K79" s="41">
        <v>7.9</v>
      </c>
      <c r="L79" s="41">
        <v>8.2</v>
      </c>
      <c r="M79" s="43" t="s">
        <v>126</v>
      </c>
      <c r="N79" s="44">
        <v>45912.0</v>
      </c>
      <c r="O79" s="50" t="s">
        <v>93</v>
      </c>
      <c r="P79" s="36" t="s">
        <v>31</v>
      </c>
      <c r="Q79" s="45"/>
      <c r="R79" s="45"/>
    </row>
    <row r="80" ht="22.5" customHeight="1">
      <c r="A80" s="32" t="s">
        <v>275</v>
      </c>
      <c r="B80" s="33" t="s">
        <v>276</v>
      </c>
      <c r="C80" s="35" t="s">
        <v>166</v>
      </c>
      <c r="D80" s="36">
        <v>7.9</v>
      </c>
      <c r="E80" s="37">
        <v>0.93</v>
      </c>
      <c r="F80" s="38">
        <v>8.166666666666668</v>
      </c>
      <c r="G80" s="39">
        <v>8.9</v>
      </c>
      <c r="H80" s="41">
        <v>8.7</v>
      </c>
      <c r="I80" s="41">
        <v>7.8</v>
      </c>
      <c r="J80" s="41">
        <v>7.9</v>
      </c>
      <c r="K80" s="41">
        <v>7.6</v>
      </c>
      <c r="L80" s="41">
        <v>8.1</v>
      </c>
      <c r="M80" s="43" t="s">
        <v>46</v>
      </c>
      <c r="N80" s="44">
        <v>45628.0</v>
      </c>
      <c r="O80" s="36" t="s">
        <v>30</v>
      </c>
      <c r="P80" s="36" t="s">
        <v>31</v>
      </c>
      <c r="Q80" s="45"/>
      <c r="R80" s="45"/>
    </row>
    <row r="81" ht="22.5" customHeight="1">
      <c r="A81" s="32" t="s">
        <v>277</v>
      </c>
      <c r="B81" s="33" t="s">
        <v>278</v>
      </c>
      <c r="C81" s="35" t="s">
        <v>279</v>
      </c>
      <c r="D81" s="36">
        <v>7.3</v>
      </c>
      <c r="E81" s="37">
        <v>0.83</v>
      </c>
      <c r="F81" s="38">
        <v>8.166666666666668</v>
      </c>
      <c r="G81" s="39">
        <v>8.8</v>
      </c>
      <c r="H81" s="41">
        <v>7.5</v>
      </c>
      <c r="I81" s="41">
        <v>8.3</v>
      </c>
      <c r="J81" s="41">
        <v>8.1</v>
      </c>
      <c r="K81" s="41">
        <v>7.7</v>
      </c>
      <c r="L81" s="41">
        <v>8.6</v>
      </c>
      <c r="M81" s="43" t="s">
        <v>280</v>
      </c>
      <c r="N81" s="44">
        <v>46224.0</v>
      </c>
      <c r="O81" s="36" t="s">
        <v>30</v>
      </c>
      <c r="P81" s="36" t="s">
        <v>31</v>
      </c>
      <c r="Q81" s="45"/>
      <c r="R81" s="45"/>
    </row>
    <row r="82" ht="22.5" customHeight="1">
      <c r="A82" s="32" t="s">
        <v>281</v>
      </c>
      <c r="B82" s="33" t="s">
        <v>282</v>
      </c>
      <c r="C82" s="35" t="s">
        <v>283</v>
      </c>
      <c r="D82" s="36">
        <v>8.1</v>
      </c>
      <c r="E82" s="37">
        <v>0.96</v>
      </c>
      <c r="F82" s="38">
        <v>8.166666666666666</v>
      </c>
      <c r="G82" s="39">
        <v>7.8</v>
      </c>
      <c r="H82" s="41">
        <v>8.6</v>
      </c>
      <c r="I82" s="41">
        <v>8.0</v>
      </c>
      <c r="J82" s="41">
        <v>8.5</v>
      </c>
      <c r="K82" s="41">
        <v>8.2</v>
      </c>
      <c r="L82" s="41">
        <v>7.9</v>
      </c>
      <c r="M82" s="43" t="s">
        <v>46</v>
      </c>
      <c r="N82" s="44">
        <v>45628.0</v>
      </c>
      <c r="O82" s="36" t="s">
        <v>30</v>
      </c>
      <c r="P82" s="36" t="s">
        <v>31</v>
      </c>
      <c r="Q82" s="45"/>
      <c r="R82" s="45"/>
    </row>
    <row r="83" ht="22.5" customHeight="1">
      <c r="A83" s="32" t="s">
        <v>284</v>
      </c>
      <c r="B83" s="33" t="s">
        <v>285</v>
      </c>
      <c r="C83" s="35" t="s">
        <v>286</v>
      </c>
      <c r="D83" s="36">
        <v>6.3</v>
      </c>
      <c r="E83" s="37">
        <v>0.45</v>
      </c>
      <c r="F83" s="38">
        <v>8.15</v>
      </c>
      <c r="G83" s="39">
        <v>8.4</v>
      </c>
      <c r="H83" s="36">
        <v>8.0</v>
      </c>
      <c r="I83" s="41">
        <v>7.6</v>
      </c>
      <c r="J83" s="41">
        <v>7.6</v>
      </c>
      <c r="K83" s="41">
        <v>8.4</v>
      </c>
      <c r="L83" s="41">
        <v>8.9</v>
      </c>
      <c r="M83" s="43" t="s">
        <v>241</v>
      </c>
      <c r="N83" s="44">
        <v>45864.0</v>
      </c>
      <c r="O83" s="36" t="s">
        <v>30</v>
      </c>
      <c r="P83" s="36" t="s">
        <v>31</v>
      </c>
      <c r="Q83" s="45"/>
      <c r="R83" s="45"/>
    </row>
    <row r="84" ht="22.5" customHeight="1">
      <c r="A84" s="32" t="s">
        <v>287</v>
      </c>
      <c r="B84" s="33" t="s">
        <v>288</v>
      </c>
      <c r="C84" s="35" t="s">
        <v>41</v>
      </c>
      <c r="D84" s="36">
        <v>7.3</v>
      </c>
      <c r="E84" s="37">
        <v>0.75</v>
      </c>
      <c r="F84" s="38">
        <v>8.133333333333335</v>
      </c>
      <c r="G84" s="39">
        <v>8.4</v>
      </c>
      <c r="H84" s="41">
        <v>9.3</v>
      </c>
      <c r="I84" s="41">
        <v>6.4</v>
      </c>
      <c r="J84" s="41">
        <v>6.8</v>
      </c>
      <c r="K84" s="41">
        <v>8.9</v>
      </c>
      <c r="L84" s="41">
        <v>9.0</v>
      </c>
      <c r="M84" s="43" t="s">
        <v>222</v>
      </c>
      <c r="N84" s="44">
        <v>45625.0</v>
      </c>
      <c r="O84" s="36" t="s">
        <v>30</v>
      </c>
      <c r="P84" s="36" t="s">
        <v>31</v>
      </c>
      <c r="Q84" s="45"/>
      <c r="R84" s="45"/>
    </row>
    <row r="85" ht="22.5" customHeight="1">
      <c r="A85" s="32" t="s">
        <v>289</v>
      </c>
      <c r="B85" s="33" t="s">
        <v>290</v>
      </c>
      <c r="C85" s="35" t="s">
        <v>283</v>
      </c>
      <c r="D85" s="36">
        <v>7.5</v>
      </c>
      <c r="E85" s="37">
        <v>0.82</v>
      </c>
      <c r="F85" s="38">
        <v>8.133333333333333</v>
      </c>
      <c r="G85" s="39">
        <v>7.8</v>
      </c>
      <c r="H85" s="41">
        <v>8.1</v>
      </c>
      <c r="I85" s="41">
        <v>8.0</v>
      </c>
      <c r="J85" s="41">
        <v>8.5</v>
      </c>
      <c r="K85" s="41">
        <v>8.1</v>
      </c>
      <c r="L85" s="41">
        <v>8.3</v>
      </c>
      <c r="M85" s="43" t="s">
        <v>172</v>
      </c>
      <c r="N85" s="44">
        <v>45628.0</v>
      </c>
      <c r="O85" s="36" t="s">
        <v>30</v>
      </c>
      <c r="P85" s="36" t="s">
        <v>31</v>
      </c>
      <c r="Q85" s="45"/>
      <c r="R85" s="45"/>
    </row>
    <row r="86" ht="22.5" customHeight="1">
      <c r="A86" s="32" t="s">
        <v>291</v>
      </c>
      <c r="B86" s="33" t="s">
        <v>292</v>
      </c>
      <c r="C86" s="35" t="s">
        <v>293</v>
      </c>
      <c r="D86" s="36">
        <v>7.3</v>
      </c>
      <c r="E86" s="37">
        <v>0.74</v>
      </c>
      <c r="F86" s="38">
        <v>8.133333333333333</v>
      </c>
      <c r="G86" s="39">
        <v>8.4</v>
      </c>
      <c r="H86" s="41">
        <v>7.9</v>
      </c>
      <c r="I86" s="41">
        <v>8.5</v>
      </c>
      <c r="J86" s="41">
        <v>7.7</v>
      </c>
      <c r="K86" s="41">
        <v>8.1</v>
      </c>
      <c r="L86" s="41">
        <v>8.2</v>
      </c>
      <c r="M86" s="43" t="s">
        <v>228</v>
      </c>
      <c r="N86" s="44">
        <v>45646.0</v>
      </c>
      <c r="O86" s="36" t="s">
        <v>93</v>
      </c>
      <c r="P86" s="36" t="s">
        <v>31</v>
      </c>
      <c r="Q86" s="45"/>
      <c r="R86" s="45"/>
    </row>
    <row r="87" ht="22.5" customHeight="1">
      <c r="A87" s="32" t="s">
        <v>294</v>
      </c>
      <c r="B87" s="33" t="s">
        <v>295</v>
      </c>
      <c r="C87" s="35" t="s">
        <v>296</v>
      </c>
      <c r="D87" s="36">
        <v>6.8</v>
      </c>
      <c r="E87" s="37">
        <v>0.88</v>
      </c>
      <c r="F87" s="38">
        <v>8.133333333333333</v>
      </c>
      <c r="G87" s="39">
        <v>8.6</v>
      </c>
      <c r="H87" s="41">
        <v>7.4</v>
      </c>
      <c r="I87" s="41">
        <v>7.5</v>
      </c>
      <c r="J87" s="41">
        <v>8.5</v>
      </c>
      <c r="K87" s="41">
        <v>7.9</v>
      </c>
      <c r="L87" s="41">
        <v>8.9</v>
      </c>
      <c r="M87" s="43" t="s">
        <v>192</v>
      </c>
      <c r="N87" s="44">
        <v>45992.0</v>
      </c>
      <c r="O87" s="36" t="s">
        <v>30</v>
      </c>
      <c r="P87" s="36" t="s">
        <v>31</v>
      </c>
      <c r="Q87" s="45"/>
      <c r="R87" s="45"/>
    </row>
    <row r="88" ht="22.5" customHeight="1">
      <c r="A88" s="32" t="s">
        <v>297</v>
      </c>
      <c r="B88" s="33" t="s">
        <v>298</v>
      </c>
      <c r="C88" s="35" t="s">
        <v>100</v>
      </c>
      <c r="D88" s="36" t="s">
        <v>299</v>
      </c>
      <c r="E88" s="37"/>
      <c r="F88" s="38">
        <v>8.116666666666667</v>
      </c>
      <c r="G88" s="39">
        <v>7.2</v>
      </c>
      <c r="H88" s="41">
        <v>7.7</v>
      </c>
      <c r="I88" s="41">
        <v>9.3</v>
      </c>
      <c r="J88" s="41">
        <v>10.0</v>
      </c>
      <c r="K88" s="41">
        <v>6.4</v>
      </c>
      <c r="L88" s="41">
        <v>8.1</v>
      </c>
      <c r="M88" s="43" t="s">
        <v>300</v>
      </c>
      <c r="N88" s="44">
        <v>45625.0</v>
      </c>
      <c r="O88" s="36" t="s">
        <v>30</v>
      </c>
      <c r="P88" s="36" t="s">
        <v>31</v>
      </c>
      <c r="Q88" s="45"/>
      <c r="R88" s="45"/>
    </row>
    <row r="89" ht="22.5" customHeight="1">
      <c r="A89" s="32" t="s">
        <v>301</v>
      </c>
      <c r="B89" s="33" t="s">
        <v>302</v>
      </c>
      <c r="C89" s="35" t="s">
        <v>80</v>
      </c>
      <c r="D89" s="36">
        <v>8.2</v>
      </c>
      <c r="E89" s="37">
        <v>0.85</v>
      </c>
      <c r="F89" s="38">
        <v>8.116666666666667</v>
      </c>
      <c r="G89" s="39">
        <v>8.5</v>
      </c>
      <c r="H89" s="41">
        <v>8.6</v>
      </c>
      <c r="I89" s="41">
        <v>9.3</v>
      </c>
      <c r="J89" s="41">
        <v>7.3</v>
      </c>
      <c r="K89" s="41">
        <v>7.5</v>
      </c>
      <c r="L89" s="41">
        <v>7.5</v>
      </c>
      <c r="M89" s="43" t="s">
        <v>186</v>
      </c>
      <c r="N89" s="44">
        <v>45874.0</v>
      </c>
      <c r="O89" s="36" t="s">
        <v>30</v>
      </c>
      <c r="P89" s="36" t="s">
        <v>31</v>
      </c>
      <c r="Q89" s="45"/>
      <c r="R89" s="45"/>
    </row>
    <row r="90" ht="22.5" customHeight="1">
      <c r="A90" s="36" t="s">
        <v>303</v>
      </c>
      <c r="B90" s="33" t="s">
        <v>304</v>
      </c>
      <c r="C90" s="35" t="s">
        <v>100</v>
      </c>
      <c r="D90" s="36">
        <v>7.9</v>
      </c>
      <c r="E90" s="37">
        <v>0.81</v>
      </c>
      <c r="F90" s="38">
        <v>8.116666666666665</v>
      </c>
      <c r="G90" s="39">
        <v>7.8</v>
      </c>
      <c r="H90" s="36">
        <v>7.5</v>
      </c>
      <c r="I90" s="36">
        <v>8.9</v>
      </c>
      <c r="J90" s="36">
        <v>9.3</v>
      </c>
      <c r="K90" s="36">
        <v>7.8</v>
      </c>
      <c r="L90" s="36">
        <v>7.4</v>
      </c>
      <c r="M90" s="43" t="s">
        <v>305</v>
      </c>
      <c r="N90" s="44">
        <v>45625.0</v>
      </c>
      <c r="O90" s="50" t="s">
        <v>30</v>
      </c>
      <c r="P90" s="36" t="s">
        <v>31</v>
      </c>
      <c r="Q90" s="45"/>
      <c r="R90" s="45"/>
    </row>
    <row r="91" ht="22.5" customHeight="1">
      <c r="A91" s="32" t="s">
        <v>306</v>
      </c>
      <c r="B91" s="33" t="s">
        <v>122</v>
      </c>
      <c r="C91" s="35" t="s">
        <v>307</v>
      </c>
      <c r="D91" s="36">
        <v>6.5</v>
      </c>
      <c r="E91" s="37">
        <v>0.79</v>
      </c>
      <c r="F91" s="38">
        <v>8.083333333333332</v>
      </c>
      <c r="G91" s="39">
        <v>8.5</v>
      </c>
      <c r="H91" s="52">
        <v>8.9</v>
      </c>
      <c r="I91" s="52">
        <v>7.2</v>
      </c>
      <c r="J91" s="52">
        <v>5.6</v>
      </c>
      <c r="K91" s="52">
        <v>8.9</v>
      </c>
      <c r="L91" s="52">
        <v>9.4</v>
      </c>
      <c r="M91" s="43" t="s">
        <v>213</v>
      </c>
      <c r="N91" s="44">
        <v>45620.0</v>
      </c>
      <c r="O91" s="50" t="s">
        <v>30</v>
      </c>
      <c r="P91" s="36" t="s">
        <v>31</v>
      </c>
      <c r="Q91" s="45"/>
      <c r="R91" s="45"/>
    </row>
    <row r="92" ht="22.5" customHeight="1">
      <c r="A92" s="32" t="s">
        <v>308</v>
      </c>
      <c r="B92" s="33" t="s">
        <v>309</v>
      </c>
      <c r="C92" s="35" t="s">
        <v>41</v>
      </c>
      <c r="D92" s="36">
        <v>8.2</v>
      </c>
      <c r="E92" s="37">
        <v>0.91</v>
      </c>
      <c r="F92" s="38">
        <v>8.066666666666668</v>
      </c>
      <c r="G92" s="39">
        <v>7.5</v>
      </c>
      <c r="H92" s="41">
        <v>8.8</v>
      </c>
      <c r="I92" s="41">
        <v>7.8</v>
      </c>
      <c r="J92" s="41">
        <v>8.8</v>
      </c>
      <c r="K92" s="41">
        <v>7.5</v>
      </c>
      <c r="L92" s="41">
        <v>8.0</v>
      </c>
      <c r="M92" s="43" t="s">
        <v>50</v>
      </c>
      <c r="N92" s="44">
        <v>45625.0</v>
      </c>
      <c r="O92" s="50" t="s">
        <v>30</v>
      </c>
      <c r="P92" s="36" t="s">
        <v>31</v>
      </c>
      <c r="Q92" s="45"/>
      <c r="R92" s="45"/>
    </row>
    <row r="93" ht="22.5" customHeight="1">
      <c r="A93" s="32" t="s">
        <v>310</v>
      </c>
      <c r="B93" s="33" t="s">
        <v>311</v>
      </c>
      <c r="C93" s="35" t="s">
        <v>28</v>
      </c>
      <c r="D93" s="36">
        <v>7.4</v>
      </c>
      <c r="E93" s="37">
        <v>0.94</v>
      </c>
      <c r="F93" s="38">
        <v>8.066666666666668</v>
      </c>
      <c r="G93" s="53">
        <v>8.4</v>
      </c>
      <c r="H93" s="54">
        <v>8.5</v>
      </c>
      <c r="I93" s="54">
        <v>8.6</v>
      </c>
      <c r="J93" s="54">
        <v>7.7</v>
      </c>
      <c r="K93" s="54">
        <v>7.5</v>
      </c>
      <c r="L93" s="54">
        <v>7.7</v>
      </c>
      <c r="M93" s="43" t="s">
        <v>186</v>
      </c>
      <c r="N93" s="44">
        <v>45646.0</v>
      </c>
      <c r="O93" s="36" t="s">
        <v>30</v>
      </c>
      <c r="P93" s="36" t="s">
        <v>31</v>
      </c>
      <c r="Q93" s="45"/>
      <c r="R93" s="45"/>
    </row>
    <row r="94" ht="22.5" customHeight="1">
      <c r="A94" s="32" t="s">
        <v>312</v>
      </c>
      <c r="B94" s="33" t="s">
        <v>313</v>
      </c>
      <c r="C94" s="35" t="s">
        <v>314</v>
      </c>
      <c r="D94" s="36">
        <v>7.4</v>
      </c>
      <c r="E94" s="37">
        <v>0.93</v>
      </c>
      <c r="F94" s="38">
        <v>8.066666666666665</v>
      </c>
      <c r="G94" s="39">
        <v>8.4</v>
      </c>
      <c r="H94" s="36">
        <v>6.9</v>
      </c>
      <c r="I94" s="36">
        <v>8.6</v>
      </c>
      <c r="J94" s="36">
        <v>7.4</v>
      </c>
      <c r="K94" s="36">
        <v>8.4</v>
      </c>
      <c r="L94" s="36">
        <v>8.7</v>
      </c>
      <c r="M94" s="43" t="s">
        <v>241</v>
      </c>
      <c r="N94" s="44">
        <v>45874.0</v>
      </c>
      <c r="O94" s="50" t="s">
        <v>30</v>
      </c>
      <c r="P94" s="36" t="s">
        <v>31</v>
      </c>
      <c r="Q94" s="45"/>
      <c r="R94" s="45"/>
    </row>
    <row r="95" ht="22.5" customHeight="1">
      <c r="A95" s="36" t="s">
        <v>315</v>
      </c>
      <c r="B95" s="33" t="s">
        <v>316</v>
      </c>
      <c r="C95" s="35" t="s">
        <v>293</v>
      </c>
      <c r="D95" s="36">
        <v>8.1</v>
      </c>
      <c r="E95" s="37">
        <v>0.96</v>
      </c>
      <c r="F95" s="38">
        <v>8.05</v>
      </c>
      <c r="G95" s="39">
        <v>8.6</v>
      </c>
      <c r="H95" s="36">
        <v>8.5</v>
      </c>
      <c r="I95" s="36">
        <v>6.5</v>
      </c>
      <c r="J95" s="36">
        <v>7.6</v>
      </c>
      <c r="K95" s="36">
        <v>8.6</v>
      </c>
      <c r="L95" s="36">
        <v>8.5</v>
      </c>
      <c r="M95" s="43" t="s">
        <v>317</v>
      </c>
      <c r="N95" s="44">
        <v>45646.0</v>
      </c>
      <c r="O95" s="50" t="s">
        <v>93</v>
      </c>
      <c r="P95" s="36" t="s">
        <v>31</v>
      </c>
      <c r="Q95" s="45"/>
      <c r="R95" s="45"/>
    </row>
    <row r="96" ht="22.5" customHeight="1">
      <c r="A96" s="32" t="s">
        <v>318</v>
      </c>
      <c r="B96" s="33" t="s">
        <v>319</v>
      </c>
      <c r="C96" s="35" t="s">
        <v>225</v>
      </c>
      <c r="D96" s="36">
        <v>7.3</v>
      </c>
      <c r="E96" s="37">
        <v>0.51</v>
      </c>
      <c r="F96" s="38">
        <v>8.049999999999999</v>
      </c>
      <c r="G96" s="39">
        <v>7.7</v>
      </c>
      <c r="H96" s="41">
        <v>7.5</v>
      </c>
      <c r="I96" s="41">
        <v>7.9</v>
      </c>
      <c r="J96" s="41">
        <v>7.9</v>
      </c>
      <c r="K96" s="41">
        <v>8.5</v>
      </c>
      <c r="L96" s="41">
        <v>8.8</v>
      </c>
      <c r="M96" s="43" t="s">
        <v>67</v>
      </c>
      <c r="N96" s="44">
        <v>46027.0</v>
      </c>
      <c r="O96" s="36" t="s">
        <v>30</v>
      </c>
      <c r="P96" s="36" t="s">
        <v>31</v>
      </c>
      <c r="Q96" s="45"/>
      <c r="R96" s="45"/>
    </row>
    <row r="97" ht="22.5" customHeight="1">
      <c r="A97" s="32" t="s">
        <v>320</v>
      </c>
      <c r="B97" s="33" t="s">
        <v>321</v>
      </c>
      <c r="C97" s="35" t="s">
        <v>28</v>
      </c>
      <c r="D97" s="36">
        <v>6.8</v>
      </c>
      <c r="E97" s="37">
        <v>0.81</v>
      </c>
      <c r="F97" s="38">
        <v>8.049999999999999</v>
      </c>
      <c r="G97" s="39">
        <v>8.2</v>
      </c>
      <c r="H97" s="36">
        <v>7.9</v>
      </c>
      <c r="I97" s="36">
        <v>7.9</v>
      </c>
      <c r="J97" s="36">
        <v>8.5</v>
      </c>
      <c r="K97" s="36">
        <v>8.3</v>
      </c>
      <c r="L97" s="36">
        <v>7.5</v>
      </c>
      <c r="M97" s="43" t="s">
        <v>322</v>
      </c>
      <c r="N97" s="44">
        <v>45646.0</v>
      </c>
      <c r="O97" s="50" t="s">
        <v>30</v>
      </c>
      <c r="P97" s="36" t="s">
        <v>31</v>
      </c>
      <c r="Q97" s="45"/>
      <c r="R97" s="45"/>
    </row>
    <row r="98" ht="22.5" customHeight="1">
      <c r="A98" s="36" t="s">
        <v>323</v>
      </c>
      <c r="B98" s="33" t="s">
        <v>324</v>
      </c>
      <c r="C98" s="35" t="s">
        <v>41</v>
      </c>
      <c r="D98" s="36">
        <v>6.3</v>
      </c>
      <c r="E98" s="37">
        <v>0.42</v>
      </c>
      <c r="F98" s="38">
        <v>8.049999999999999</v>
      </c>
      <c r="G98" s="39">
        <v>8.2</v>
      </c>
      <c r="H98" s="41">
        <v>7.6</v>
      </c>
      <c r="I98" s="41">
        <v>7.9</v>
      </c>
      <c r="J98" s="41">
        <v>8.6</v>
      </c>
      <c r="K98" s="41">
        <v>7.9</v>
      </c>
      <c r="L98" s="41">
        <v>8.1</v>
      </c>
      <c r="M98" s="43" t="s">
        <v>201</v>
      </c>
      <c r="N98" s="44">
        <v>46121.0</v>
      </c>
      <c r="O98" s="50" t="s">
        <v>30</v>
      </c>
      <c r="P98" s="36" t="s">
        <v>31</v>
      </c>
      <c r="Q98" s="45"/>
      <c r="R98" s="45"/>
    </row>
    <row r="99" ht="22.5" customHeight="1">
      <c r="A99" s="32" t="s">
        <v>325</v>
      </c>
      <c r="B99" s="33" t="s">
        <v>326</v>
      </c>
      <c r="C99" s="35" t="s">
        <v>100</v>
      </c>
      <c r="D99" s="36">
        <v>7.5</v>
      </c>
      <c r="E99" s="37">
        <v>0.76</v>
      </c>
      <c r="F99" s="38">
        <v>8.033333333333333</v>
      </c>
      <c r="G99" s="39">
        <v>6.8</v>
      </c>
      <c r="H99" s="41">
        <v>8.3</v>
      </c>
      <c r="I99" s="41">
        <v>9.3</v>
      </c>
      <c r="J99" s="41">
        <v>9.8</v>
      </c>
      <c r="K99" s="41">
        <v>7.3</v>
      </c>
      <c r="L99" s="41">
        <v>6.7</v>
      </c>
      <c r="M99" s="43" t="s">
        <v>327</v>
      </c>
      <c r="N99" s="44">
        <v>45874.0</v>
      </c>
      <c r="O99" s="36" t="s">
        <v>30</v>
      </c>
      <c r="P99" s="36" t="s">
        <v>31</v>
      </c>
      <c r="Q99" s="45"/>
      <c r="R99" s="45"/>
    </row>
    <row r="100" ht="22.5" customHeight="1">
      <c r="A100" s="32" t="s">
        <v>328</v>
      </c>
      <c r="B100" s="33" t="s">
        <v>329</v>
      </c>
      <c r="C100" s="35" t="s">
        <v>330</v>
      </c>
      <c r="D100" s="36">
        <v>7.5</v>
      </c>
      <c r="E100" s="37">
        <v>0.86</v>
      </c>
      <c r="F100" s="38">
        <v>8.033333333333333</v>
      </c>
      <c r="G100" s="39">
        <v>8.6</v>
      </c>
      <c r="H100" s="41">
        <v>7.8</v>
      </c>
      <c r="I100" s="41">
        <v>6.7</v>
      </c>
      <c r="J100" s="41">
        <v>9.1</v>
      </c>
      <c r="K100" s="41">
        <v>8.0</v>
      </c>
      <c r="L100" s="41">
        <v>8.0</v>
      </c>
      <c r="M100" s="43" t="s">
        <v>130</v>
      </c>
      <c r="N100" s="44">
        <v>45982.0</v>
      </c>
      <c r="O100" s="36" t="s">
        <v>30</v>
      </c>
      <c r="P100" s="36" t="s">
        <v>31</v>
      </c>
      <c r="Q100" s="45"/>
      <c r="R100" s="45"/>
    </row>
    <row r="101" ht="22.5" customHeight="1">
      <c r="A101" s="32" t="s">
        <v>331</v>
      </c>
      <c r="B101" s="33" t="s">
        <v>332</v>
      </c>
      <c r="C101" s="35" t="s">
        <v>333</v>
      </c>
      <c r="D101" s="36">
        <v>6.5</v>
      </c>
      <c r="E101" s="37">
        <v>1.0</v>
      </c>
      <c r="F101" s="38">
        <v>8.033333333333333</v>
      </c>
      <c r="G101" s="39">
        <v>8.6</v>
      </c>
      <c r="H101" s="41">
        <v>8.6</v>
      </c>
      <c r="I101" s="41">
        <v>6.1</v>
      </c>
      <c r="J101" s="41">
        <v>7.4</v>
      </c>
      <c r="K101" s="41">
        <v>8.4</v>
      </c>
      <c r="L101" s="41">
        <v>9.1</v>
      </c>
      <c r="M101" s="43" t="s">
        <v>334</v>
      </c>
      <c r="N101" s="44">
        <v>45874.0</v>
      </c>
      <c r="O101" s="36" t="s">
        <v>30</v>
      </c>
      <c r="P101" s="36" t="s">
        <v>31</v>
      </c>
      <c r="Q101" s="45"/>
      <c r="R101" s="45"/>
    </row>
    <row r="102" ht="22.5" customHeight="1">
      <c r="A102" s="32" t="s">
        <v>335</v>
      </c>
      <c r="B102" s="33" t="s">
        <v>336</v>
      </c>
      <c r="C102" s="35" t="s">
        <v>28</v>
      </c>
      <c r="D102" s="36">
        <v>5.7</v>
      </c>
      <c r="E102" s="37">
        <v>0.21</v>
      </c>
      <c r="F102" s="38">
        <v>8.033333333333333</v>
      </c>
      <c r="G102" s="39">
        <v>8.7</v>
      </c>
      <c r="H102" s="41">
        <v>7.5</v>
      </c>
      <c r="I102" s="41">
        <v>8.0</v>
      </c>
      <c r="J102" s="41">
        <v>8.5</v>
      </c>
      <c r="K102" s="41">
        <v>7.6</v>
      </c>
      <c r="L102" s="41">
        <v>7.9</v>
      </c>
      <c r="M102" s="43" t="s">
        <v>337</v>
      </c>
      <c r="N102" s="44">
        <v>45861.0</v>
      </c>
      <c r="O102" s="36" t="s">
        <v>30</v>
      </c>
      <c r="P102" s="36" t="s">
        <v>31</v>
      </c>
      <c r="Q102" s="45"/>
      <c r="R102" s="45"/>
    </row>
    <row r="103" ht="22.5" customHeight="1">
      <c r="A103" s="32" t="s">
        <v>338</v>
      </c>
      <c r="B103" s="55" t="s">
        <v>339</v>
      </c>
      <c r="C103" s="56" t="s">
        <v>296</v>
      </c>
      <c r="D103" s="36">
        <v>7.3</v>
      </c>
      <c r="E103" s="37">
        <v>0.91</v>
      </c>
      <c r="F103" s="38">
        <v>8.033333333333333</v>
      </c>
      <c r="G103" s="39">
        <v>8.6</v>
      </c>
      <c r="H103" s="36">
        <v>7.5</v>
      </c>
      <c r="I103" s="36">
        <v>7.6</v>
      </c>
      <c r="J103" s="36">
        <v>8.9</v>
      </c>
      <c r="K103" s="36">
        <v>7.4</v>
      </c>
      <c r="L103" s="36">
        <v>8.2</v>
      </c>
      <c r="M103" s="57" t="s">
        <v>337</v>
      </c>
      <c r="N103" s="44">
        <v>46206.0</v>
      </c>
      <c r="O103" s="36" t="s">
        <v>30</v>
      </c>
      <c r="P103" s="36" t="s">
        <v>31</v>
      </c>
      <c r="Q103" s="45"/>
      <c r="R103" s="45"/>
    </row>
    <row r="104" ht="22.5" customHeight="1">
      <c r="A104" s="32" t="s">
        <v>340</v>
      </c>
      <c r="B104" s="33" t="s">
        <v>341</v>
      </c>
      <c r="C104" s="35" t="s">
        <v>279</v>
      </c>
      <c r="D104" s="36">
        <v>8.0</v>
      </c>
      <c r="E104" s="37">
        <v>0.94</v>
      </c>
      <c r="F104" s="38">
        <v>8.033333333333333</v>
      </c>
      <c r="G104" s="39">
        <v>8.4</v>
      </c>
      <c r="H104" s="41">
        <v>8.2</v>
      </c>
      <c r="I104" s="41">
        <v>8.6</v>
      </c>
      <c r="J104" s="41">
        <v>6.8</v>
      </c>
      <c r="K104" s="41">
        <v>8.4</v>
      </c>
      <c r="L104" s="41">
        <v>7.8</v>
      </c>
      <c r="M104" s="43" t="s">
        <v>67</v>
      </c>
      <c r="N104" s="44">
        <v>46208.0</v>
      </c>
      <c r="O104" s="36" t="s">
        <v>30</v>
      </c>
      <c r="P104" s="36" t="s">
        <v>31</v>
      </c>
      <c r="Q104" s="45"/>
      <c r="R104" s="45"/>
    </row>
    <row r="105" ht="22.5" customHeight="1">
      <c r="A105" s="32" t="s">
        <v>342</v>
      </c>
      <c r="B105" s="55" t="s">
        <v>343</v>
      </c>
      <c r="C105" s="56" t="s">
        <v>344</v>
      </c>
      <c r="D105" s="36">
        <v>7.3</v>
      </c>
      <c r="E105" s="37">
        <v>0.85</v>
      </c>
      <c r="F105" s="38">
        <v>8.016666666666667</v>
      </c>
      <c r="G105" s="39">
        <v>7.7</v>
      </c>
      <c r="H105" s="36">
        <v>8.9</v>
      </c>
      <c r="I105" s="36">
        <v>6.5</v>
      </c>
      <c r="J105" s="36">
        <v>8.8</v>
      </c>
      <c r="K105" s="36">
        <v>7.4</v>
      </c>
      <c r="L105" s="36">
        <v>8.8</v>
      </c>
      <c r="M105" s="57" t="s">
        <v>345</v>
      </c>
      <c r="N105" s="44">
        <v>45982.0</v>
      </c>
      <c r="O105" s="36" t="s">
        <v>30</v>
      </c>
      <c r="P105" s="36" t="s">
        <v>31</v>
      </c>
      <c r="Q105" s="45"/>
      <c r="R105" s="45"/>
    </row>
    <row r="106" ht="22.5" customHeight="1">
      <c r="A106" s="32" t="s">
        <v>346</v>
      </c>
      <c r="B106" s="33" t="s">
        <v>347</v>
      </c>
      <c r="C106" s="35" t="s">
        <v>283</v>
      </c>
      <c r="D106" s="36">
        <v>7.7</v>
      </c>
      <c r="E106" s="37">
        <v>0.8</v>
      </c>
      <c r="F106" s="38">
        <v>8.0</v>
      </c>
      <c r="G106" s="39">
        <v>7.8</v>
      </c>
      <c r="H106" s="41">
        <v>8.3</v>
      </c>
      <c r="I106" s="41">
        <v>8.0</v>
      </c>
      <c r="J106" s="41">
        <v>8.5</v>
      </c>
      <c r="K106" s="41">
        <v>7.9</v>
      </c>
      <c r="L106" s="41">
        <v>7.5</v>
      </c>
      <c r="M106" s="43" t="s">
        <v>81</v>
      </c>
      <c r="N106" s="44">
        <v>45628.0</v>
      </c>
      <c r="O106" s="36" t="s">
        <v>30</v>
      </c>
      <c r="P106" s="36" t="s">
        <v>31</v>
      </c>
      <c r="Q106" s="45"/>
      <c r="R106" s="45"/>
    </row>
    <row r="107" ht="22.5" customHeight="1">
      <c r="A107" s="32" t="s">
        <v>348</v>
      </c>
      <c r="B107" s="33" t="s">
        <v>349</v>
      </c>
      <c r="C107" s="35" t="s">
        <v>129</v>
      </c>
      <c r="D107" s="36">
        <v>7.5</v>
      </c>
      <c r="E107" s="37">
        <v>0.88</v>
      </c>
      <c r="F107" s="38">
        <v>8.0</v>
      </c>
      <c r="G107" s="39">
        <v>7.8</v>
      </c>
      <c r="H107" s="41">
        <v>8.6</v>
      </c>
      <c r="I107" s="41">
        <v>6.7</v>
      </c>
      <c r="J107" s="41">
        <v>7.5</v>
      </c>
      <c r="K107" s="41">
        <v>8.8</v>
      </c>
      <c r="L107" s="41">
        <v>8.6</v>
      </c>
      <c r="M107" s="43" t="s">
        <v>350</v>
      </c>
      <c r="N107" s="44">
        <v>45874.0</v>
      </c>
      <c r="O107" s="36" t="s">
        <v>30</v>
      </c>
      <c r="P107" s="36" t="s">
        <v>31</v>
      </c>
      <c r="Q107" s="45"/>
      <c r="R107" s="45"/>
    </row>
    <row r="108" ht="22.5" customHeight="1">
      <c r="A108" s="32" t="s">
        <v>351</v>
      </c>
      <c r="B108" s="33" t="s">
        <v>352</v>
      </c>
      <c r="C108" s="35" t="s">
        <v>283</v>
      </c>
      <c r="D108" s="36">
        <v>7.9</v>
      </c>
      <c r="E108" s="37">
        <v>0.91</v>
      </c>
      <c r="F108" s="38">
        <v>7.999999999999999</v>
      </c>
      <c r="G108" s="39">
        <v>7.6</v>
      </c>
      <c r="H108" s="41">
        <v>8.3</v>
      </c>
      <c r="I108" s="41">
        <v>8.0</v>
      </c>
      <c r="J108" s="41">
        <v>8.5</v>
      </c>
      <c r="K108" s="41">
        <v>7.8</v>
      </c>
      <c r="L108" s="41">
        <v>7.8</v>
      </c>
      <c r="M108" s="43" t="s">
        <v>210</v>
      </c>
      <c r="N108" s="44">
        <v>45628.0</v>
      </c>
      <c r="O108" s="36" t="s">
        <v>30</v>
      </c>
      <c r="P108" s="36" t="s">
        <v>31</v>
      </c>
      <c r="Q108" s="45"/>
      <c r="R108" s="45"/>
    </row>
    <row r="109" ht="22.5" customHeight="1">
      <c r="A109" s="32" t="s">
        <v>353</v>
      </c>
      <c r="B109" s="33" t="s">
        <v>354</v>
      </c>
      <c r="C109" s="35" t="s">
        <v>355</v>
      </c>
      <c r="D109" s="36">
        <v>6.7</v>
      </c>
      <c r="E109" s="37">
        <v>0.8</v>
      </c>
      <c r="F109" s="38">
        <v>7.983333333333333</v>
      </c>
      <c r="G109" s="39">
        <v>8.4</v>
      </c>
      <c r="H109" s="41">
        <v>6.5</v>
      </c>
      <c r="I109" s="41">
        <v>7.3</v>
      </c>
      <c r="J109" s="41">
        <v>8.6</v>
      </c>
      <c r="K109" s="41">
        <v>8.7</v>
      </c>
      <c r="L109" s="41">
        <v>8.4</v>
      </c>
      <c r="M109" s="43" t="s">
        <v>216</v>
      </c>
      <c r="N109" s="44">
        <v>45846.0</v>
      </c>
      <c r="O109" s="36" t="s">
        <v>30</v>
      </c>
      <c r="P109" s="36" t="s">
        <v>31</v>
      </c>
      <c r="Q109" s="45"/>
      <c r="R109" s="45"/>
    </row>
    <row r="110" ht="22.5" customHeight="1">
      <c r="A110" s="32" t="s">
        <v>356</v>
      </c>
      <c r="B110" s="33" t="s">
        <v>357</v>
      </c>
      <c r="C110" s="35" t="s">
        <v>358</v>
      </c>
      <c r="D110" s="36">
        <v>6.7</v>
      </c>
      <c r="E110" s="37">
        <v>0.79</v>
      </c>
      <c r="F110" s="38">
        <v>7.983333333333333</v>
      </c>
      <c r="G110" s="39">
        <v>8.2</v>
      </c>
      <c r="H110" s="41">
        <v>7.5</v>
      </c>
      <c r="I110" s="41">
        <v>7.8</v>
      </c>
      <c r="J110" s="41">
        <v>8.6</v>
      </c>
      <c r="K110" s="41">
        <v>7.8</v>
      </c>
      <c r="L110" s="41">
        <v>8.0</v>
      </c>
      <c r="M110" s="43" t="s">
        <v>46</v>
      </c>
      <c r="N110" s="44">
        <v>46121.0</v>
      </c>
      <c r="O110" s="36" t="s">
        <v>30</v>
      </c>
      <c r="P110" s="36" t="s">
        <v>31</v>
      </c>
      <c r="Q110" s="45"/>
      <c r="R110" s="45"/>
    </row>
    <row r="111" ht="22.5" customHeight="1">
      <c r="A111" s="32" t="s">
        <v>359</v>
      </c>
      <c r="B111" s="33" t="s">
        <v>360</v>
      </c>
      <c r="C111" s="35" t="s">
        <v>96</v>
      </c>
      <c r="D111" s="36">
        <v>8.2</v>
      </c>
      <c r="E111" s="37">
        <v>0.93</v>
      </c>
      <c r="F111" s="38">
        <v>7.966666666666666</v>
      </c>
      <c r="G111" s="39">
        <v>7.7</v>
      </c>
      <c r="H111" s="41">
        <v>9.6</v>
      </c>
      <c r="I111" s="41">
        <v>6.2</v>
      </c>
      <c r="J111" s="41">
        <v>8.5</v>
      </c>
      <c r="K111" s="41">
        <v>8.3</v>
      </c>
      <c r="L111" s="41">
        <v>7.5</v>
      </c>
      <c r="M111" s="43" t="s">
        <v>361</v>
      </c>
      <c r="N111" s="44">
        <v>45925.0</v>
      </c>
      <c r="O111" s="36" t="s">
        <v>30</v>
      </c>
      <c r="P111" s="36" t="s">
        <v>31</v>
      </c>
      <c r="Q111" s="45"/>
      <c r="R111" s="45"/>
    </row>
    <row r="112" ht="22.5" customHeight="1">
      <c r="A112" s="32" t="s">
        <v>362</v>
      </c>
      <c r="B112" s="33" t="s">
        <v>363</v>
      </c>
      <c r="C112" s="35" t="s">
        <v>200</v>
      </c>
      <c r="D112" s="36">
        <v>7.8</v>
      </c>
      <c r="E112" s="37">
        <v>0.9</v>
      </c>
      <c r="F112" s="38">
        <v>7.966666666666666</v>
      </c>
      <c r="G112" s="39">
        <v>8.8</v>
      </c>
      <c r="H112" s="36">
        <v>7.6</v>
      </c>
      <c r="I112" s="36">
        <v>6.7</v>
      </c>
      <c r="J112" s="36">
        <v>7.2</v>
      </c>
      <c r="K112" s="36">
        <v>8.8</v>
      </c>
      <c r="L112" s="36">
        <v>8.7</v>
      </c>
      <c r="M112" s="43" t="s">
        <v>364</v>
      </c>
      <c r="N112" s="44">
        <v>45625.0</v>
      </c>
      <c r="O112" s="50" t="s">
        <v>30</v>
      </c>
      <c r="P112" s="36" t="s">
        <v>31</v>
      </c>
      <c r="Q112" s="45"/>
      <c r="R112" s="45"/>
    </row>
    <row r="113" ht="22.5" customHeight="1">
      <c r="A113" s="36" t="s">
        <v>365</v>
      </c>
      <c r="B113" s="33" t="s">
        <v>366</v>
      </c>
      <c r="C113" s="35" t="s">
        <v>103</v>
      </c>
      <c r="D113" s="36">
        <v>7.6</v>
      </c>
      <c r="E113" s="37">
        <v>0.95</v>
      </c>
      <c r="F113" s="38">
        <v>7.95</v>
      </c>
      <c r="G113" s="39">
        <v>8.5</v>
      </c>
      <c r="H113" s="36">
        <v>8.5</v>
      </c>
      <c r="I113" s="36">
        <v>7.2</v>
      </c>
      <c r="J113" s="36">
        <v>7.2</v>
      </c>
      <c r="K113" s="36">
        <v>8.8</v>
      </c>
      <c r="L113" s="36">
        <v>7.5</v>
      </c>
      <c r="M113" s="43" t="s">
        <v>367</v>
      </c>
      <c r="N113" s="44">
        <v>45874.0</v>
      </c>
      <c r="O113" s="50" t="s">
        <v>30</v>
      </c>
      <c r="P113" s="36" t="s">
        <v>31</v>
      </c>
      <c r="Q113" s="45"/>
      <c r="R113" s="45"/>
    </row>
    <row r="114" ht="22.5" customHeight="1">
      <c r="A114" s="32" t="s">
        <v>368</v>
      </c>
      <c r="B114" s="33" t="s">
        <v>369</v>
      </c>
      <c r="C114" s="35" t="s">
        <v>28</v>
      </c>
      <c r="D114" s="36">
        <v>6.7</v>
      </c>
      <c r="E114" s="37">
        <v>0.67</v>
      </c>
      <c r="F114" s="38">
        <v>7.95</v>
      </c>
      <c r="G114" s="39">
        <v>7.7</v>
      </c>
      <c r="H114" s="41">
        <v>7.4</v>
      </c>
      <c r="I114" s="41">
        <v>7.4</v>
      </c>
      <c r="J114" s="41">
        <v>8.9</v>
      </c>
      <c r="K114" s="41">
        <v>8.1</v>
      </c>
      <c r="L114" s="41">
        <v>8.2</v>
      </c>
      <c r="M114" s="43" t="s">
        <v>207</v>
      </c>
      <c r="N114" s="44">
        <v>45998.0</v>
      </c>
      <c r="O114" s="50" t="s">
        <v>30</v>
      </c>
      <c r="P114" s="36" t="s">
        <v>31</v>
      </c>
      <c r="Q114" s="45"/>
      <c r="R114" s="45"/>
    </row>
    <row r="115" ht="22.5" customHeight="1">
      <c r="A115" s="32" t="s">
        <v>370</v>
      </c>
      <c r="B115" s="33" t="s">
        <v>371</v>
      </c>
      <c r="C115" s="35" t="s">
        <v>283</v>
      </c>
      <c r="D115" s="36">
        <v>7.7</v>
      </c>
      <c r="E115" s="37">
        <v>0.88</v>
      </c>
      <c r="F115" s="38">
        <v>7.933333333333334</v>
      </c>
      <c r="G115" s="39">
        <v>8.2</v>
      </c>
      <c r="H115" s="41">
        <v>7.6</v>
      </c>
      <c r="I115" s="41">
        <v>8.0</v>
      </c>
      <c r="J115" s="41">
        <v>8.5</v>
      </c>
      <c r="K115" s="41">
        <v>7.7</v>
      </c>
      <c r="L115" s="41">
        <v>7.6</v>
      </c>
      <c r="M115" s="43" t="s">
        <v>372</v>
      </c>
      <c r="N115" s="44">
        <v>45628.0</v>
      </c>
      <c r="O115" s="36" t="s">
        <v>30</v>
      </c>
      <c r="P115" s="36" t="s">
        <v>31</v>
      </c>
      <c r="Q115" s="45"/>
      <c r="R115" s="45"/>
    </row>
    <row r="116" ht="22.5" customHeight="1">
      <c r="A116" s="32" t="s">
        <v>373</v>
      </c>
      <c r="B116" s="33" t="s">
        <v>374</v>
      </c>
      <c r="C116" s="35" t="s">
        <v>41</v>
      </c>
      <c r="D116" s="36">
        <v>7.5</v>
      </c>
      <c r="E116" s="37">
        <v>0.9</v>
      </c>
      <c r="F116" s="38">
        <v>7.933333333333334</v>
      </c>
      <c r="G116" s="39">
        <v>8.5</v>
      </c>
      <c r="H116" s="41">
        <v>8.6</v>
      </c>
      <c r="I116" s="41">
        <v>6.8</v>
      </c>
      <c r="J116" s="41">
        <v>8.6</v>
      </c>
      <c r="K116" s="41">
        <v>7.6</v>
      </c>
      <c r="L116" s="41">
        <v>7.5</v>
      </c>
      <c r="M116" s="43" t="s">
        <v>375</v>
      </c>
      <c r="N116" s="44">
        <v>45646.0</v>
      </c>
      <c r="O116" s="36" t="s">
        <v>30</v>
      </c>
      <c r="P116" s="36" t="s">
        <v>31</v>
      </c>
      <c r="Q116" s="45"/>
      <c r="R116" s="45"/>
    </row>
    <row r="117" ht="22.5" customHeight="1">
      <c r="A117" s="32" t="s">
        <v>376</v>
      </c>
      <c r="B117" s="33" t="s">
        <v>377</v>
      </c>
      <c r="C117" s="35" t="s">
        <v>378</v>
      </c>
      <c r="D117" s="36">
        <v>7.8</v>
      </c>
      <c r="E117" s="37">
        <v>0.97</v>
      </c>
      <c r="F117" s="38">
        <v>7.916666666666667</v>
      </c>
      <c r="G117" s="39">
        <v>7.9</v>
      </c>
      <c r="H117" s="41">
        <v>7.9</v>
      </c>
      <c r="I117" s="41">
        <v>8.9</v>
      </c>
      <c r="J117" s="41">
        <v>8.5</v>
      </c>
      <c r="K117" s="41">
        <v>7.5</v>
      </c>
      <c r="L117" s="41">
        <v>6.8</v>
      </c>
      <c r="M117" s="43" t="s">
        <v>169</v>
      </c>
      <c r="N117" s="44">
        <v>45649.0</v>
      </c>
      <c r="O117" s="36" t="s">
        <v>30</v>
      </c>
      <c r="P117" s="36" t="s">
        <v>31</v>
      </c>
      <c r="Q117" s="45"/>
      <c r="R117" s="45"/>
    </row>
    <row r="118" ht="22.5" customHeight="1">
      <c r="A118" s="36" t="s">
        <v>379</v>
      </c>
      <c r="B118" s="33" t="s">
        <v>380</v>
      </c>
      <c r="C118" s="35" t="s">
        <v>133</v>
      </c>
      <c r="D118" s="36">
        <v>7.8</v>
      </c>
      <c r="E118" s="37">
        <v>0.54</v>
      </c>
      <c r="F118" s="38">
        <v>7.916666666666667</v>
      </c>
      <c r="G118" s="39">
        <v>8.6</v>
      </c>
      <c r="H118" s="41">
        <v>7.5</v>
      </c>
      <c r="I118" s="41">
        <v>5.5</v>
      </c>
      <c r="J118" s="41">
        <v>6.5</v>
      </c>
      <c r="K118" s="41">
        <v>9.7</v>
      </c>
      <c r="L118" s="41">
        <v>9.7</v>
      </c>
      <c r="M118" s="43" t="s">
        <v>381</v>
      </c>
      <c r="N118" s="44">
        <v>45646.0</v>
      </c>
      <c r="O118" s="50" t="s">
        <v>30</v>
      </c>
      <c r="P118" s="36" t="s">
        <v>31</v>
      </c>
      <c r="Q118" s="45"/>
      <c r="R118" s="45"/>
    </row>
    <row r="119" ht="22.5" customHeight="1">
      <c r="A119" s="32" t="s">
        <v>382</v>
      </c>
      <c r="B119" s="33" t="s">
        <v>383</v>
      </c>
      <c r="C119" s="35" t="s">
        <v>166</v>
      </c>
      <c r="D119" s="36">
        <v>8.0</v>
      </c>
      <c r="E119" s="37">
        <v>0.92</v>
      </c>
      <c r="F119" s="38">
        <v>7.8999999999999995</v>
      </c>
      <c r="G119" s="39">
        <v>8.6</v>
      </c>
      <c r="H119" s="41">
        <v>6.5</v>
      </c>
      <c r="I119" s="41">
        <v>8.6</v>
      </c>
      <c r="J119" s="41">
        <v>8.4</v>
      </c>
      <c r="K119" s="41">
        <v>7.8</v>
      </c>
      <c r="L119" s="41">
        <v>7.5</v>
      </c>
      <c r="M119" s="43" t="s">
        <v>136</v>
      </c>
      <c r="N119" s="44">
        <v>45625.0</v>
      </c>
      <c r="O119" s="36" t="s">
        <v>30</v>
      </c>
      <c r="P119" s="36" t="s">
        <v>31</v>
      </c>
      <c r="Q119" s="45"/>
      <c r="R119" s="45"/>
    </row>
    <row r="120" ht="22.5" customHeight="1">
      <c r="A120" s="32" t="s">
        <v>384</v>
      </c>
      <c r="B120" s="33" t="s">
        <v>385</v>
      </c>
      <c r="C120" s="35" t="s">
        <v>197</v>
      </c>
      <c r="D120" s="36">
        <v>7.3</v>
      </c>
      <c r="E120" s="37">
        <v>0.61</v>
      </c>
      <c r="F120" s="38">
        <v>7.8999999999999995</v>
      </c>
      <c r="G120" s="39">
        <v>8.6</v>
      </c>
      <c r="H120" s="41">
        <v>7.6</v>
      </c>
      <c r="I120" s="41">
        <v>6.5</v>
      </c>
      <c r="J120" s="41">
        <v>8.1</v>
      </c>
      <c r="K120" s="41">
        <v>8.1</v>
      </c>
      <c r="L120" s="41">
        <v>8.5</v>
      </c>
      <c r="M120" s="43" t="s">
        <v>142</v>
      </c>
      <c r="N120" s="44">
        <v>45868.0</v>
      </c>
      <c r="O120" s="36" t="s">
        <v>30</v>
      </c>
      <c r="P120" s="36" t="s">
        <v>31</v>
      </c>
      <c r="Q120" s="45"/>
      <c r="R120" s="45"/>
    </row>
    <row r="121" ht="22.5" customHeight="1">
      <c r="A121" s="32" t="s">
        <v>386</v>
      </c>
      <c r="B121" s="33" t="s">
        <v>387</v>
      </c>
      <c r="C121" s="35" t="s">
        <v>100</v>
      </c>
      <c r="D121" s="36">
        <v>5.1</v>
      </c>
      <c r="E121" s="37">
        <v>0.27</v>
      </c>
      <c r="F121" s="38">
        <v>7.883333333333333</v>
      </c>
      <c r="G121" s="39">
        <v>8.4</v>
      </c>
      <c r="H121" s="41">
        <v>7.9</v>
      </c>
      <c r="I121" s="41">
        <v>7.5</v>
      </c>
      <c r="J121" s="41">
        <v>8.5</v>
      </c>
      <c r="K121" s="41">
        <v>7.5</v>
      </c>
      <c r="L121" s="41">
        <v>7.5</v>
      </c>
      <c r="M121" s="43" t="s">
        <v>175</v>
      </c>
      <c r="N121" s="44">
        <v>45846.0</v>
      </c>
      <c r="O121" s="36" t="s">
        <v>30</v>
      </c>
      <c r="P121" s="36" t="s">
        <v>31</v>
      </c>
      <c r="Q121" s="45"/>
      <c r="R121" s="45"/>
    </row>
    <row r="122" ht="22.5" customHeight="1">
      <c r="A122" s="32" t="s">
        <v>388</v>
      </c>
      <c r="B122" s="33" t="s">
        <v>389</v>
      </c>
      <c r="C122" s="35" t="s">
        <v>279</v>
      </c>
      <c r="D122" s="36">
        <v>7.8</v>
      </c>
      <c r="E122" s="37">
        <v>0.92</v>
      </c>
      <c r="F122" s="38">
        <v>7.883333333333333</v>
      </c>
      <c r="G122" s="39">
        <v>8.7</v>
      </c>
      <c r="H122" s="41">
        <v>8.0</v>
      </c>
      <c r="I122" s="41">
        <v>7.7</v>
      </c>
      <c r="J122" s="41">
        <v>7.2</v>
      </c>
      <c r="K122" s="41">
        <v>8.4</v>
      </c>
      <c r="L122" s="41">
        <v>7.3</v>
      </c>
      <c r="M122" s="43" t="s">
        <v>201</v>
      </c>
      <c r="N122" s="44">
        <v>46212.0</v>
      </c>
      <c r="O122" s="36" t="s">
        <v>30</v>
      </c>
      <c r="P122" s="36" t="s">
        <v>31</v>
      </c>
      <c r="Q122" s="45"/>
      <c r="R122" s="45"/>
    </row>
    <row r="123" ht="22.5" customHeight="1">
      <c r="A123" s="32" t="s">
        <v>390</v>
      </c>
      <c r="B123" s="33" t="s">
        <v>391</v>
      </c>
      <c r="C123" s="35" t="s">
        <v>392</v>
      </c>
      <c r="D123" s="36">
        <v>7.6</v>
      </c>
      <c r="E123" s="37">
        <v>0.61</v>
      </c>
      <c r="F123" s="38">
        <v>7.866666666666667</v>
      </c>
      <c r="G123" s="39">
        <v>8.7</v>
      </c>
      <c r="H123" s="41">
        <v>6.8</v>
      </c>
      <c r="I123" s="41">
        <v>7.6</v>
      </c>
      <c r="J123" s="41">
        <v>6.5</v>
      </c>
      <c r="K123" s="41">
        <v>8.8</v>
      </c>
      <c r="L123" s="41">
        <v>8.8</v>
      </c>
      <c r="M123" s="43" t="s">
        <v>97</v>
      </c>
      <c r="N123" s="44">
        <v>45676.0</v>
      </c>
      <c r="O123" s="36" t="s">
        <v>30</v>
      </c>
      <c r="P123" s="36" t="s">
        <v>31</v>
      </c>
      <c r="Q123" s="45"/>
      <c r="R123" s="45"/>
    </row>
    <row r="124" ht="22.5" customHeight="1">
      <c r="A124" s="36" t="s">
        <v>393</v>
      </c>
      <c r="B124" s="33" t="s">
        <v>394</v>
      </c>
      <c r="C124" s="35" t="s">
        <v>286</v>
      </c>
      <c r="D124" s="36">
        <v>7.6</v>
      </c>
      <c r="E124" s="37">
        <v>0.82</v>
      </c>
      <c r="F124" s="38">
        <v>7.866666666666666</v>
      </c>
      <c r="G124" s="39">
        <v>7.6</v>
      </c>
      <c r="H124" s="36">
        <v>7.9</v>
      </c>
      <c r="I124" s="36">
        <v>7.4</v>
      </c>
      <c r="J124" s="36">
        <v>7.3</v>
      </c>
      <c r="K124" s="41">
        <v>8.6</v>
      </c>
      <c r="L124" s="41">
        <v>8.4</v>
      </c>
      <c r="M124" s="43" t="s">
        <v>395</v>
      </c>
      <c r="N124" s="44">
        <v>45646.0</v>
      </c>
      <c r="O124" s="50" t="s">
        <v>30</v>
      </c>
      <c r="P124" s="36" t="s">
        <v>31</v>
      </c>
      <c r="Q124" s="45"/>
      <c r="R124" s="45"/>
    </row>
    <row r="125" ht="22.5" customHeight="1">
      <c r="A125" s="32" t="s">
        <v>396</v>
      </c>
      <c r="B125" s="33" t="s">
        <v>397</v>
      </c>
      <c r="C125" s="35" t="s">
        <v>41</v>
      </c>
      <c r="D125" s="36">
        <v>7.7</v>
      </c>
      <c r="E125" s="37">
        <v>0.9</v>
      </c>
      <c r="F125" s="38">
        <v>7.8500000000000005</v>
      </c>
      <c r="G125" s="39">
        <v>8.6</v>
      </c>
      <c r="H125" s="41">
        <v>8.5</v>
      </c>
      <c r="I125" s="41">
        <v>6.5</v>
      </c>
      <c r="J125" s="41">
        <v>7.3</v>
      </c>
      <c r="K125" s="41">
        <v>8.6</v>
      </c>
      <c r="L125" s="41">
        <v>7.6</v>
      </c>
      <c r="M125" s="43" t="s">
        <v>267</v>
      </c>
      <c r="N125" s="44">
        <v>45625.0</v>
      </c>
      <c r="O125" s="36" t="s">
        <v>30</v>
      </c>
      <c r="P125" s="36" t="s">
        <v>31</v>
      </c>
      <c r="Q125" s="45"/>
      <c r="R125" s="45"/>
    </row>
    <row r="126" ht="22.5" customHeight="1">
      <c r="A126" s="32" t="s">
        <v>398</v>
      </c>
      <c r="B126" s="33" t="s">
        <v>399</v>
      </c>
      <c r="C126" s="35" t="s">
        <v>400</v>
      </c>
      <c r="D126" s="36">
        <v>7.6</v>
      </c>
      <c r="E126" s="37">
        <v>0.83</v>
      </c>
      <c r="F126" s="38">
        <v>7.8500000000000005</v>
      </c>
      <c r="G126" s="39">
        <v>7.6</v>
      </c>
      <c r="H126" s="36">
        <v>7.9</v>
      </c>
      <c r="I126" s="36">
        <v>8.0</v>
      </c>
      <c r="J126" s="36">
        <v>8.5</v>
      </c>
      <c r="K126" s="36">
        <v>7.6</v>
      </c>
      <c r="L126" s="36">
        <v>7.5</v>
      </c>
      <c r="M126" s="43" t="s">
        <v>401</v>
      </c>
      <c r="N126" s="44">
        <v>45628.0</v>
      </c>
      <c r="O126" s="36" t="s">
        <v>30</v>
      </c>
      <c r="P126" s="36" t="s">
        <v>31</v>
      </c>
      <c r="Q126" s="45"/>
      <c r="R126" s="45"/>
    </row>
    <row r="127" ht="22.5" customHeight="1">
      <c r="A127" s="32" t="s">
        <v>402</v>
      </c>
      <c r="B127" s="33" t="s">
        <v>403</v>
      </c>
      <c r="C127" s="35" t="s">
        <v>400</v>
      </c>
      <c r="D127" s="36">
        <v>7.5</v>
      </c>
      <c r="E127" s="37">
        <v>0.78</v>
      </c>
      <c r="F127" s="38">
        <v>7.8500000000000005</v>
      </c>
      <c r="G127" s="39">
        <v>7.6</v>
      </c>
      <c r="H127" s="41">
        <v>7.6</v>
      </c>
      <c r="I127" s="41">
        <v>8.0</v>
      </c>
      <c r="J127" s="41">
        <v>8.5</v>
      </c>
      <c r="K127" s="41">
        <v>7.8</v>
      </c>
      <c r="L127" s="41">
        <v>7.6</v>
      </c>
      <c r="M127" s="43" t="s">
        <v>251</v>
      </c>
      <c r="N127" s="44">
        <v>45628.0</v>
      </c>
      <c r="O127" s="36" t="s">
        <v>30</v>
      </c>
      <c r="P127" s="36" t="s">
        <v>31</v>
      </c>
      <c r="Q127" s="45"/>
      <c r="R127" s="45"/>
    </row>
    <row r="128" ht="22.5" customHeight="1">
      <c r="A128" s="32" t="s">
        <v>404</v>
      </c>
      <c r="B128" s="33" t="s">
        <v>405</v>
      </c>
      <c r="C128" s="35" t="s">
        <v>406</v>
      </c>
      <c r="D128" s="36">
        <v>8.0</v>
      </c>
      <c r="E128" s="37">
        <v>0.92</v>
      </c>
      <c r="F128" s="38">
        <v>7.833333333333335</v>
      </c>
      <c r="G128" s="39">
        <v>8.8</v>
      </c>
      <c r="H128" s="41">
        <v>7.4</v>
      </c>
      <c r="I128" s="41">
        <v>7.5</v>
      </c>
      <c r="J128" s="41">
        <v>7.1</v>
      </c>
      <c r="K128" s="41">
        <v>8.6</v>
      </c>
      <c r="L128" s="41">
        <v>7.6</v>
      </c>
      <c r="M128" s="43" t="s">
        <v>213</v>
      </c>
      <c r="N128" s="44">
        <v>46076.0</v>
      </c>
      <c r="O128" s="50" t="s">
        <v>30</v>
      </c>
      <c r="P128" s="36" t="s">
        <v>31</v>
      </c>
      <c r="Q128" s="45"/>
      <c r="R128" s="45"/>
    </row>
    <row r="129" ht="22.5" customHeight="1">
      <c r="A129" s="32" t="s">
        <v>407</v>
      </c>
      <c r="B129" s="33" t="s">
        <v>408</v>
      </c>
      <c r="C129" s="35" t="s">
        <v>296</v>
      </c>
      <c r="D129" s="36">
        <v>7.0</v>
      </c>
      <c r="E129" s="37"/>
      <c r="F129" s="38">
        <v>7.833333333333335</v>
      </c>
      <c r="G129" s="39">
        <v>8.5</v>
      </c>
      <c r="H129" s="41">
        <v>8.6</v>
      </c>
      <c r="I129" s="41">
        <v>7.5</v>
      </c>
      <c r="J129" s="41">
        <v>7.7</v>
      </c>
      <c r="K129" s="41">
        <v>8.3</v>
      </c>
      <c r="L129" s="41">
        <v>6.4</v>
      </c>
      <c r="M129" s="43" t="s">
        <v>409</v>
      </c>
      <c r="N129" s="44">
        <v>46236.0</v>
      </c>
      <c r="O129" s="36" t="s">
        <v>30</v>
      </c>
      <c r="P129" s="36" t="s">
        <v>31</v>
      </c>
      <c r="Q129" s="45"/>
      <c r="R129" s="45"/>
    </row>
    <row r="130" ht="22.5" customHeight="1">
      <c r="A130" s="36" t="s">
        <v>410</v>
      </c>
      <c r="B130" s="33" t="s">
        <v>411</v>
      </c>
      <c r="C130" s="35" t="s">
        <v>250</v>
      </c>
      <c r="D130" s="36">
        <v>8.4</v>
      </c>
      <c r="E130" s="37">
        <v>0.94</v>
      </c>
      <c r="F130" s="38">
        <v>7.833333333333333</v>
      </c>
      <c r="G130" s="39">
        <v>8.5</v>
      </c>
      <c r="H130" s="36">
        <v>8.5</v>
      </c>
      <c r="I130" s="36">
        <v>8.6</v>
      </c>
      <c r="J130" s="36">
        <v>7.4</v>
      </c>
      <c r="K130" s="36">
        <v>7.5</v>
      </c>
      <c r="L130" s="36">
        <v>6.5</v>
      </c>
      <c r="M130" s="43" t="s">
        <v>64</v>
      </c>
      <c r="N130" s="44">
        <v>45874.0</v>
      </c>
      <c r="O130" s="50" t="s">
        <v>30</v>
      </c>
      <c r="P130" s="36" t="s">
        <v>31</v>
      </c>
      <c r="Q130" s="45"/>
      <c r="R130" s="45"/>
    </row>
    <row r="131" ht="22.5" customHeight="1">
      <c r="A131" s="32" t="s">
        <v>412</v>
      </c>
      <c r="B131" s="33" t="s">
        <v>413</v>
      </c>
      <c r="C131" s="35" t="s">
        <v>406</v>
      </c>
      <c r="D131" s="36">
        <v>7.7</v>
      </c>
      <c r="E131" s="37">
        <v>0.81</v>
      </c>
      <c r="F131" s="38">
        <v>7.833333333333333</v>
      </c>
      <c r="G131" s="39">
        <v>8.7</v>
      </c>
      <c r="H131" s="41">
        <v>7.8</v>
      </c>
      <c r="I131" s="41">
        <v>6.5</v>
      </c>
      <c r="J131" s="41">
        <v>7.3</v>
      </c>
      <c r="K131" s="41">
        <v>8.7</v>
      </c>
      <c r="L131" s="41">
        <v>8.0</v>
      </c>
      <c r="M131" s="43" t="s">
        <v>192</v>
      </c>
      <c r="N131" s="44">
        <v>46072.0</v>
      </c>
      <c r="O131" s="36" t="s">
        <v>30</v>
      </c>
      <c r="P131" s="36" t="s">
        <v>31</v>
      </c>
      <c r="Q131" s="45"/>
      <c r="R131" s="45"/>
    </row>
    <row r="132" ht="22.5" customHeight="1">
      <c r="A132" s="32" t="s">
        <v>414</v>
      </c>
      <c r="B132" s="33" t="s">
        <v>415</v>
      </c>
      <c r="C132" s="35" t="s">
        <v>286</v>
      </c>
      <c r="D132" s="36">
        <v>7.4</v>
      </c>
      <c r="E132" s="37">
        <v>0.84</v>
      </c>
      <c r="F132" s="38">
        <v>7.833333333333333</v>
      </c>
      <c r="G132" s="39">
        <v>7.6</v>
      </c>
      <c r="H132" s="41">
        <v>7.6</v>
      </c>
      <c r="I132" s="41">
        <v>8.9</v>
      </c>
      <c r="J132" s="41">
        <v>6.5</v>
      </c>
      <c r="K132" s="41">
        <v>8.5</v>
      </c>
      <c r="L132" s="41">
        <v>7.9</v>
      </c>
      <c r="M132" s="43" t="s">
        <v>367</v>
      </c>
      <c r="N132" s="44">
        <v>45808.0</v>
      </c>
      <c r="O132" s="36" t="s">
        <v>30</v>
      </c>
      <c r="P132" s="36" t="s">
        <v>31</v>
      </c>
      <c r="Q132" s="45"/>
      <c r="R132" s="45"/>
    </row>
    <row r="133" ht="22.5" customHeight="1">
      <c r="A133" s="32" t="s">
        <v>416</v>
      </c>
      <c r="B133" s="33" t="s">
        <v>417</v>
      </c>
      <c r="C133" s="35" t="s">
        <v>28</v>
      </c>
      <c r="D133" s="36">
        <v>6.6</v>
      </c>
      <c r="E133" s="37">
        <v>0.51</v>
      </c>
      <c r="F133" s="38">
        <v>7.833333333333333</v>
      </c>
      <c r="G133" s="39">
        <v>7.8</v>
      </c>
      <c r="H133" s="41">
        <v>8.3</v>
      </c>
      <c r="I133" s="41">
        <v>6.9</v>
      </c>
      <c r="J133" s="41">
        <v>7.5</v>
      </c>
      <c r="K133" s="41">
        <v>8.3</v>
      </c>
      <c r="L133" s="41">
        <v>8.2</v>
      </c>
      <c r="M133" s="43" t="s">
        <v>251</v>
      </c>
      <c r="N133" s="44">
        <v>45628.0</v>
      </c>
      <c r="O133" s="36" t="s">
        <v>30</v>
      </c>
      <c r="P133" s="36" t="s">
        <v>31</v>
      </c>
      <c r="Q133" s="45"/>
      <c r="R133" s="45"/>
    </row>
    <row r="134" ht="22.5" customHeight="1">
      <c r="A134" s="32" t="s">
        <v>418</v>
      </c>
      <c r="B134" s="33" t="s">
        <v>419</v>
      </c>
      <c r="C134" s="35" t="s">
        <v>420</v>
      </c>
      <c r="D134" s="36">
        <v>7.5</v>
      </c>
      <c r="E134" s="37"/>
      <c r="F134" s="38">
        <v>7.833333333333333</v>
      </c>
      <c r="G134" s="39">
        <v>8.9</v>
      </c>
      <c r="H134" s="41">
        <v>6.5</v>
      </c>
      <c r="I134" s="41">
        <v>7.8</v>
      </c>
      <c r="J134" s="41">
        <v>6.5</v>
      </c>
      <c r="K134" s="41">
        <v>8.5</v>
      </c>
      <c r="L134" s="41">
        <v>8.8</v>
      </c>
      <c r="M134" s="43" t="s">
        <v>150</v>
      </c>
      <c r="N134" s="44">
        <v>46246.0</v>
      </c>
      <c r="O134" s="36" t="s">
        <v>30</v>
      </c>
      <c r="P134" s="36" t="s">
        <v>31</v>
      </c>
      <c r="Q134" s="45"/>
      <c r="R134" s="45"/>
    </row>
    <row r="135" ht="22.5" customHeight="1">
      <c r="A135" s="36" t="s">
        <v>421</v>
      </c>
      <c r="B135" s="33" t="s">
        <v>422</v>
      </c>
      <c r="C135" s="35" t="s">
        <v>166</v>
      </c>
      <c r="D135" s="36">
        <v>7.6</v>
      </c>
      <c r="E135" s="37">
        <v>0.83</v>
      </c>
      <c r="F135" s="38">
        <v>7.816666666666666</v>
      </c>
      <c r="G135" s="39">
        <v>8.9</v>
      </c>
      <c r="H135" s="36">
        <v>6.8</v>
      </c>
      <c r="I135" s="36">
        <v>7.2</v>
      </c>
      <c r="J135" s="36">
        <v>8.3</v>
      </c>
      <c r="K135" s="36">
        <v>8.2</v>
      </c>
      <c r="L135" s="36">
        <v>7.5</v>
      </c>
      <c r="M135" s="43" t="s">
        <v>54</v>
      </c>
      <c r="N135" s="44">
        <v>45646.0</v>
      </c>
      <c r="O135" s="50" t="s">
        <v>30</v>
      </c>
      <c r="P135" s="36" t="s">
        <v>31</v>
      </c>
      <c r="Q135" s="45"/>
      <c r="R135" s="45"/>
    </row>
    <row r="136" ht="22.5" customHeight="1">
      <c r="A136" s="32" t="s">
        <v>423</v>
      </c>
      <c r="B136" s="33" t="s">
        <v>424</v>
      </c>
      <c r="C136" s="35" t="s">
        <v>406</v>
      </c>
      <c r="D136" s="36">
        <v>7.8</v>
      </c>
      <c r="E136" s="37">
        <v>0.84</v>
      </c>
      <c r="F136" s="38">
        <v>7.8</v>
      </c>
      <c r="G136" s="59">
        <v>8.7</v>
      </c>
      <c r="H136" s="60">
        <v>7.8</v>
      </c>
      <c r="I136" s="60">
        <v>6.6</v>
      </c>
      <c r="J136" s="60">
        <v>7.1</v>
      </c>
      <c r="K136" s="60">
        <v>8.8</v>
      </c>
      <c r="L136" s="60">
        <v>7.8</v>
      </c>
      <c r="M136" s="43" t="s">
        <v>54</v>
      </c>
      <c r="N136" s="44">
        <v>46070.0</v>
      </c>
      <c r="O136" s="50" t="s">
        <v>30</v>
      </c>
      <c r="P136" s="36" t="s">
        <v>31</v>
      </c>
      <c r="Q136" s="45"/>
      <c r="R136" s="45"/>
    </row>
    <row r="137" ht="22.5" customHeight="1">
      <c r="A137" s="32" t="s">
        <v>425</v>
      </c>
      <c r="B137" s="33" t="s">
        <v>426</v>
      </c>
      <c r="C137" s="35" t="s">
        <v>427</v>
      </c>
      <c r="D137" s="36">
        <v>7.3</v>
      </c>
      <c r="E137" s="37">
        <v>0.92</v>
      </c>
      <c r="F137" s="38">
        <v>7.8</v>
      </c>
      <c r="G137" s="39">
        <v>8.1</v>
      </c>
      <c r="H137" s="41">
        <v>7.3</v>
      </c>
      <c r="I137" s="41">
        <v>6.6</v>
      </c>
      <c r="J137" s="41">
        <v>7.7</v>
      </c>
      <c r="K137" s="41">
        <v>8.7</v>
      </c>
      <c r="L137" s="41">
        <v>8.4</v>
      </c>
      <c r="M137" s="43" t="s">
        <v>67</v>
      </c>
      <c r="N137" s="44">
        <v>46081.0</v>
      </c>
      <c r="O137" s="36" t="s">
        <v>30</v>
      </c>
      <c r="P137" s="36" t="s">
        <v>31</v>
      </c>
      <c r="Q137" s="45"/>
      <c r="R137" s="45"/>
    </row>
    <row r="138" ht="22.5" customHeight="1">
      <c r="A138" s="32" t="s">
        <v>428</v>
      </c>
      <c r="B138" s="33" t="s">
        <v>429</v>
      </c>
      <c r="C138" s="35" t="s">
        <v>41</v>
      </c>
      <c r="D138" s="36">
        <v>7.1</v>
      </c>
      <c r="E138" s="37">
        <v>0.57</v>
      </c>
      <c r="F138" s="38">
        <v>7.8</v>
      </c>
      <c r="G138" s="39">
        <v>8.9</v>
      </c>
      <c r="H138" s="41">
        <v>8.8</v>
      </c>
      <c r="I138" s="41">
        <v>5.9</v>
      </c>
      <c r="J138" s="41">
        <v>9.5</v>
      </c>
      <c r="K138" s="41">
        <v>7.8</v>
      </c>
      <c r="L138" s="41">
        <v>5.9</v>
      </c>
      <c r="M138" s="43" t="s">
        <v>67</v>
      </c>
      <c r="N138" s="44">
        <v>45646.0</v>
      </c>
      <c r="O138" s="36" t="s">
        <v>30</v>
      </c>
      <c r="P138" s="36" t="s">
        <v>31</v>
      </c>
      <c r="Q138" s="45"/>
      <c r="R138" s="45"/>
    </row>
    <row r="139" ht="22.5" customHeight="1">
      <c r="A139" s="32" t="s">
        <v>430</v>
      </c>
      <c r="B139" s="33" t="s">
        <v>431</v>
      </c>
      <c r="C139" s="35" t="s">
        <v>432</v>
      </c>
      <c r="D139" s="36">
        <v>6.5</v>
      </c>
      <c r="E139" s="37">
        <v>0.55</v>
      </c>
      <c r="F139" s="38">
        <v>7.8</v>
      </c>
      <c r="G139" s="39">
        <v>7.7</v>
      </c>
      <c r="H139" s="41">
        <v>8.1</v>
      </c>
      <c r="I139" s="41">
        <v>6.5</v>
      </c>
      <c r="J139" s="41">
        <v>8.1</v>
      </c>
      <c r="K139" s="41">
        <v>8.0</v>
      </c>
      <c r="L139" s="41">
        <v>8.4</v>
      </c>
      <c r="M139" s="43" t="s">
        <v>216</v>
      </c>
      <c r="N139" s="44">
        <v>45855.0</v>
      </c>
      <c r="O139" s="61" t="s">
        <v>30</v>
      </c>
      <c r="P139" s="61" t="s">
        <v>31</v>
      </c>
      <c r="Q139" s="45"/>
      <c r="R139" s="45"/>
    </row>
    <row r="140" ht="22.5" customHeight="1">
      <c r="A140" s="32" t="s">
        <v>433</v>
      </c>
      <c r="B140" s="33" t="s">
        <v>434</v>
      </c>
      <c r="C140" s="35" t="s">
        <v>435</v>
      </c>
      <c r="D140" s="36">
        <v>6.9</v>
      </c>
      <c r="E140" s="37">
        <v>0.44</v>
      </c>
      <c r="F140" s="38">
        <v>7.766666666666667</v>
      </c>
      <c r="G140" s="39">
        <v>7.7</v>
      </c>
      <c r="H140" s="41">
        <v>7.1</v>
      </c>
      <c r="I140" s="41">
        <v>8.5</v>
      </c>
      <c r="J140" s="36">
        <v>8.1</v>
      </c>
      <c r="K140" s="41">
        <v>8.1</v>
      </c>
      <c r="L140" s="41">
        <v>7.1</v>
      </c>
      <c r="M140" s="43" t="s">
        <v>436</v>
      </c>
      <c r="N140" s="44">
        <v>45891.0</v>
      </c>
      <c r="O140" s="61" t="s">
        <v>30</v>
      </c>
      <c r="P140" s="61" t="s">
        <v>31</v>
      </c>
      <c r="Q140" s="45"/>
      <c r="R140" s="45"/>
    </row>
    <row r="141" ht="22.5" customHeight="1">
      <c r="A141" s="32" t="s">
        <v>437</v>
      </c>
      <c r="B141" s="33" t="s">
        <v>438</v>
      </c>
      <c r="C141" s="35" t="s">
        <v>439</v>
      </c>
      <c r="D141" s="36">
        <v>6.7</v>
      </c>
      <c r="E141" s="37">
        <v>0.52</v>
      </c>
      <c r="F141" s="38">
        <v>7.766666666666667</v>
      </c>
      <c r="G141" s="39">
        <v>8.6</v>
      </c>
      <c r="H141" s="36">
        <v>7.9</v>
      </c>
      <c r="I141" s="36">
        <v>6.7</v>
      </c>
      <c r="J141" s="36">
        <v>7.6</v>
      </c>
      <c r="K141" s="36">
        <v>8.1</v>
      </c>
      <c r="L141" s="36">
        <v>7.7</v>
      </c>
      <c r="M141" s="43" t="s">
        <v>136</v>
      </c>
      <c r="N141" s="44">
        <v>45868.0</v>
      </c>
      <c r="O141" s="50" t="s">
        <v>30</v>
      </c>
      <c r="P141" s="36" t="s">
        <v>31</v>
      </c>
      <c r="Q141" s="45"/>
      <c r="R141" s="45"/>
    </row>
    <row r="142" ht="22.5" customHeight="1">
      <c r="A142" s="32" t="s">
        <v>440</v>
      </c>
      <c r="B142" s="33" t="s">
        <v>441</v>
      </c>
      <c r="C142" s="35" t="s">
        <v>91</v>
      </c>
      <c r="D142" s="36">
        <v>7.7</v>
      </c>
      <c r="E142" s="37">
        <v>0.97</v>
      </c>
      <c r="F142" s="38">
        <v>7.766666666666666</v>
      </c>
      <c r="G142" s="39">
        <v>7.7</v>
      </c>
      <c r="H142" s="41">
        <v>6.5</v>
      </c>
      <c r="I142" s="41">
        <v>9.1</v>
      </c>
      <c r="J142" s="41">
        <v>8.7</v>
      </c>
      <c r="K142" s="41">
        <v>7.1</v>
      </c>
      <c r="L142" s="41">
        <v>7.5</v>
      </c>
      <c r="M142" s="43" t="s">
        <v>442</v>
      </c>
      <c r="N142" s="44">
        <v>45888.0</v>
      </c>
      <c r="O142" s="36" t="s">
        <v>93</v>
      </c>
      <c r="P142" s="36" t="s">
        <v>31</v>
      </c>
      <c r="Q142" s="45"/>
      <c r="R142" s="45"/>
    </row>
    <row r="143" ht="22.5" customHeight="1">
      <c r="A143" s="62" t="s">
        <v>443</v>
      </c>
      <c r="B143" s="33" t="s">
        <v>444</v>
      </c>
      <c r="C143" s="35" t="s">
        <v>80</v>
      </c>
      <c r="D143" s="36">
        <v>5.5</v>
      </c>
      <c r="E143" s="37">
        <v>0.39</v>
      </c>
      <c r="F143" s="38">
        <v>7.766666666666666</v>
      </c>
      <c r="G143" s="39">
        <v>7.6</v>
      </c>
      <c r="H143" s="41">
        <v>8.6</v>
      </c>
      <c r="I143" s="41">
        <v>6.5</v>
      </c>
      <c r="J143" s="41">
        <v>7.1</v>
      </c>
      <c r="K143" s="41">
        <v>8.6</v>
      </c>
      <c r="L143" s="41">
        <v>8.2</v>
      </c>
      <c r="M143" s="43" t="s">
        <v>58</v>
      </c>
      <c r="N143" s="44">
        <v>45646.0</v>
      </c>
      <c r="O143" s="50" t="s">
        <v>30</v>
      </c>
      <c r="P143" s="36" t="s">
        <v>31</v>
      </c>
      <c r="Q143" s="45"/>
      <c r="R143" s="45"/>
    </row>
    <row r="144" ht="22.5" customHeight="1">
      <c r="A144" s="32" t="s">
        <v>445</v>
      </c>
      <c r="B144" s="33" t="s">
        <v>446</v>
      </c>
      <c r="C144" s="35" t="s">
        <v>80</v>
      </c>
      <c r="D144" s="36">
        <v>7.1</v>
      </c>
      <c r="E144" s="37">
        <v>0.62</v>
      </c>
      <c r="F144" s="38">
        <v>7.733333333333333</v>
      </c>
      <c r="G144" s="39">
        <v>8.5</v>
      </c>
      <c r="H144" s="41">
        <v>7.4</v>
      </c>
      <c r="I144" s="41">
        <v>7.8</v>
      </c>
      <c r="J144" s="41">
        <v>8.1</v>
      </c>
      <c r="K144" s="41">
        <v>6.5</v>
      </c>
      <c r="L144" s="41">
        <v>8.1</v>
      </c>
      <c r="M144" s="43" t="s">
        <v>361</v>
      </c>
      <c r="N144" s="44">
        <v>45863.0</v>
      </c>
      <c r="O144" s="36" t="s">
        <v>30</v>
      </c>
      <c r="P144" s="36" t="s">
        <v>31</v>
      </c>
      <c r="Q144" s="45"/>
      <c r="R144" s="45"/>
    </row>
    <row r="145" ht="22.5" customHeight="1">
      <c r="A145" s="32" t="s">
        <v>447</v>
      </c>
      <c r="B145" s="33" t="s">
        <v>448</v>
      </c>
      <c r="C145" s="35" t="s">
        <v>283</v>
      </c>
      <c r="D145" s="36">
        <v>5.9</v>
      </c>
      <c r="E145" s="37">
        <v>0.48</v>
      </c>
      <c r="F145" s="38">
        <v>7.733333333333333</v>
      </c>
      <c r="G145" s="39">
        <v>7.9</v>
      </c>
      <c r="H145" s="41">
        <v>8.3</v>
      </c>
      <c r="I145" s="41">
        <v>6.7</v>
      </c>
      <c r="J145" s="41">
        <v>7.6</v>
      </c>
      <c r="K145" s="41">
        <v>7.8</v>
      </c>
      <c r="L145" s="41">
        <v>8.1</v>
      </c>
      <c r="M145" s="43" t="s">
        <v>436</v>
      </c>
      <c r="N145" s="44">
        <v>45628.0</v>
      </c>
      <c r="O145" s="36" t="s">
        <v>30</v>
      </c>
      <c r="P145" s="36" t="s">
        <v>31</v>
      </c>
      <c r="Q145" s="45"/>
      <c r="R145" s="45"/>
    </row>
    <row r="146" ht="22.5" customHeight="1">
      <c r="A146" s="32" t="s">
        <v>449</v>
      </c>
      <c r="B146" s="33" t="s">
        <v>450</v>
      </c>
      <c r="C146" s="35" t="s">
        <v>263</v>
      </c>
      <c r="D146" s="36">
        <v>5.8</v>
      </c>
      <c r="E146" s="37">
        <v>0.46</v>
      </c>
      <c r="F146" s="38">
        <v>7.683333333333334</v>
      </c>
      <c r="G146" s="39">
        <v>7.9</v>
      </c>
      <c r="H146" s="41">
        <v>8.9</v>
      </c>
      <c r="I146" s="41">
        <v>6.5</v>
      </c>
      <c r="J146" s="41">
        <v>5.5</v>
      </c>
      <c r="K146" s="41">
        <v>8.9</v>
      </c>
      <c r="L146" s="41">
        <v>8.4</v>
      </c>
      <c r="M146" s="43" t="s">
        <v>235</v>
      </c>
      <c r="N146" s="44">
        <v>46043.0</v>
      </c>
      <c r="O146" s="36" t="s">
        <v>30</v>
      </c>
      <c r="P146" s="36" t="s">
        <v>31</v>
      </c>
      <c r="Q146" s="45"/>
      <c r="R146" s="45"/>
    </row>
    <row r="147" ht="22.5" customHeight="1">
      <c r="A147" s="32" t="s">
        <v>451</v>
      </c>
      <c r="B147" s="35" t="s">
        <v>452</v>
      </c>
      <c r="C147" s="35" t="s">
        <v>453</v>
      </c>
      <c r="D147" s="36">
        <v>8.1</v>
      </c>
      <c r="E147" s="37">
        <v>1.0</v>
      </c>
      <c r="F147" s="38">
        <v>7.683333333333334</v>
      </c>
      <c r="G147" s="39">
        <v>8.8</v>
      </c>
      <c r="H147" s="41">
        <v>9.0</v>
      </c>
      <c r="I147" s="41">
        <v>6.3</v>
      </c>
      <c r="J147" s="41">
        <v>7.7</v>
      </c>
      <c r="K147" s="41">
        <v>7.3</v>
      </c>
      <c r="L147" s="36">
        <v>7.0</v>
      </c>
      <c r="M147" s="43" t="s">
        <v>454</v>
      </c>
      <c r="N147" s="44">
        <v>46244.0</v>
      </c>
      <c r="O147" s="36" t="s">
        <v>30</v>
      </c>
      <c r="P147" s="36" t="s">
        <v>31</v>
      </c>
      <c r="Q147" s="45"/>
      <c r="R147" s="45"/>
    </row>
    <row r="148" ht="22.5" customHeight="1">
      <c r="A148" s="32" t="s">
        <v>455</v>
      </c>
      <c r="B148" s="55" t="s">
        <v>456</v>
      </c>
      <c r="C148" s="56" t="s">
        <v>28</v>
      </c>
      <c r="D148" s="36">
        <v>6.6</v>
      </c>
      <c r="E148" s="37">
        <v>0.41</v>
      </c>
      <c r="F148" s="38">
        <v>7.666666666666667</v>
      </c>
      <c r="G148" s="39">
        <v>7.5</v>
      </c>
      <c r="H148" s="36">
        <v>7.4</v>
      </c>
      <c r="I148" s="36">
        <v>5.6</v>
      </c>
      <c r="J148" s="36">
        <v>8.5</v>
      </c>
      <c r="K148" s="36">
        <v>8.6</v>
      </c>
      <c r="L148" s="36">
        <v>8.4</v>
      </c>
      <c r="M148" s="57" t="s">
        <v>169</v>
      </c>
      <c r="N148" s="44">
        <v>45646.0</v>
      </c>
      <c r="O148" s="36" t="s">
        <v>30</v>
      </c>
      <c r="P148" s="36" t="s">
        <v>31</v>
      </c>
      <c r="Q148" s="45"/>
      <c r="R148" s="45"/>
    </row>
    <row r="149" ht="22.5" customHeight="1">
      <c r="A149" s="32" t="s">
        <v>457</v>
      </c>
      <c r="B149" s="33" t="s">
        <v>458</v>
      </c>
      <c r="C149" s="35" t="s">
        <v>459</v>
      </c>
      <c r="D149" s="36"/>
      <c r="E149" s="37"/>
      <c r="F149" s="38">
        <v>7.666666666666667</v>
      </c>
      <c r="G149" s="39">
        <v>8.2</v>
      </c>
      <c r="H149" s="41">
        <v>8.6</v>
      </c>
      <c r="I149" s="41">
        <v>7.5</v>
      </c>
      <c r="J149" s="41">
        <v>8.5</v>
      </c>
      <c r="K149" s="41">
        <v>5.5</v>
      </c>
      <c r="L149" s="41">
        <v>7.7</v>
      </c>
      <c r="M149" s="43" t="s">
        <v>381</v>
      </c>
      <c r="N149" s="44">
        <v>45646.0</v>
      </c>
      <c r="O149" s="36" t="s">
        <v>30</v>
      </c>
      <c r="P149" s="36" t="s">
        <v>31</v>
      </c>
      <c r="Q149" s="45"/>
      <c r="R149" s="45"/>
    </row>
    <row r="150" ht="22.5" customHeight="1">
      <c r="A150" s="32" t="s">
        <v>460</v>
      </c>
      <c r="B150" s="33" t="s">
        <v>461</v>
      </c>
      <c r="C150" s="35" t="s">
        <v>462</v>
      </c>
      <c r="D150" s="36">
        <v>6.5</v>
      </c>
      <c r="E150" s="37"/>
      <c r="F150" s="38">
        <v>7.666666666666667</v>
      </c>
      <c r="G150" s="39">
        <v>8.1</v>
      </c>
      <c r="H150" s="36">
        <v>7.7</v>
      </c>
      <c r="I150" s="36">
        <v>6.9</v>
      </c>
      <c r="J150" s="36">
        <v>7.4</v>
      </c>
      <c r="K150" s="36">
        <v>8.5</v>
      </c>
      <c r="L150" s="36">
        <v>7.4</v>
      </c>
      <c r="M150" s="43" t="s">
        <v>216</v>
      </c>
      <c r="N150" s="44">
        <v>46187.0</v>
      </c>
      <c r="O150" s="50"/>
      <c r="P150" s="36"/>
      <c r="Q150" s="45"/>
      <c r="R150" s="45"/>
    </row>
    <row r="151" ht="22.5" customHeight="1">
      <c r="A151" s="32" t="s">
        <v>463</v>
      </c>
      <c r="B151" s="33" t="s">
        <v>464</v>
      </c>
      <c r="C151" s="35" t="s">
        <v>293</v>
      </c>
      <c r="D151" s="36">
        <v>6.3</v>
      </c>
      <c r="E151" s="37"/>
      <c r="F151" s="38">
        <v>7.650000000000001</v>
      </c>
      <c r="G151" s="39">
        <v>7.8</v>
      </c>
      <c r="H151" s="41">
        <v>7.3</v>
      </c>
      <c r="I151" s="41">
        <v>8.3</v>
      </c>
      <c r="J151" s="41">
        <v>8.6</v>
      </c>
      <c r="K151" s="41">
        <v>7.7</v>
      </c>
      <c r="L151" s="41">
        <v>6.2</v>
      </c>
      <c r="M151" s="43" t="s">
        <v>92</v>
      </c>
      <c r="N151" s="44">
        <v>46153.0</v>
      </c>
      <c r="O151" s="50" t="s">
        <v>93</v>
      </c>
      <c r="P151" s="36" t="s">
        <v>31</v>
      </c>
      <c r="Q151" s="45"/>
      <c r="R151" s="45"/>
    </row>
    <row r="152" ht="22.5" customHeight="1">
      <c r="A152" s="32" t="s">
        <v>465</v>
      </c>
      <c r="B152" s="33" t="s">
        <v>466</v>
      </c>
      <c r="C152" s="35" t="s">
        <v>293</v>
      </c>
      <c r="D152" s="36">
        <v>7.0</v>
      </c>
      <c r="E152" s="37">
        <v>0.59</v>
      </c>
      <c r="F152" s="38">
        <v>7.633333333333334</v>
      </c>
      <c r="G152" s="39">
        <v>7.5</v>
      </c>
      <c r="H152" s="41">
        <v>7.6</v>
      </c>
      <c r="I152" s="41">
        <v>8.0</v>
      </c>
      <c r="J152" s="41">
        <v>8.5</v>
      </c>
      <c r="K152" s="41">
        <v>7.7</v>
      </c>
      <c r="L152" s="41">
        <v>6.5</v>
      </c>
      <c r="M152" s="43" t="s">
        <v>467</v>
      </c>
      <c r="N152" s="44">
        <v>46153.0</v>
      </c>
      <c r="O152" s="36" t="s">
        <v>93</v>
      </c>
      <c r="P152" s="36" t="s">
        <v>31</v>
      </c>
      <c r="Q152" s="45"/>
      <c r="R152" s="45"/>
    </row>
    <row r="153" ht="22.5" customHeight="1">
      <c r="A153" s="32" t="s">
        <v>468</v>
      </c>
      <c r="B153" s="33" t="s">
        <v>469</v>
      </c>
      <c r="C153" s="35" t="s">
        <v>41</v>
      </c>
      <c r="D153" s="36">
        <v>7.9</v>
      </c>
      <c r="E153" s="37">
        <v>0.94</v>
      </c>
      <c r="F153" s="38">
        <v>7.583333333333333</v>
      </c>
      <c r="G153" s="39">
        <v>8.9</v>
      </c>
      <c r="H153" s="41">
        <v>6.8</v>
      </c>
      <c r="I153" s="41">
        <v>6.8</v>
      </c>
      <c r="J153" s="41">
        <v>7.5</v>
      </c>
      <c r="K153" s="41">
        <v>8.5</v>
      </c>
      <c r="L153" s="41">
        <v>7.0</v>
      </c>
      <c r="M153" s="43" t="s">
        <v>150</v>
      </c>
      <c r="N153" s="44">
        <v>45608.0</v>
      </c>
      <c r="O153" s="36" t="s">
        <v>30</v>
      </c>
      <c r="P153" s="36" t="s">
        <v>31</v>
      </c>
      <c r="Q153" s="45"/>
      <c r="R153" s="45"/>
    </row>
    <row r="154" ht="22.5" customHeight="1">
      <c r="A154" s="32" t="s">
        <v>470</v>
      </c>
      <c r="B154" s="33" t="s">
        <v>471</v>
      </c>
      <c r="C154" s="35" t="s">
        <v>41</v>
      </c>
      <c r="D154" s="36">
        <v>6.6</v>
      </c>
      <c r="E154" s="37">
        <v>0.7</v>
      </c>
      <c r="F154" s="38">
        <v>7.583333333333333</v>
      </c>
      <c r="G154" s="39">
        <v>8.0</v>
      </c>
      <c r="H154" s="41">
        <v>8.5</v>
      </c>
      <c r="I154" s="41">
        <v>5.6</v>
      </c>
      <c r="J154" s="41">
        <v>8.6</v>
      </c>
      <c r="K154" s="41">
        <v>7.5</v>
      </c>
      <c r="L154" s="41">
        <v>7.3</v>
      </c>
      <c r="M154" s="43" t="s">
        <v>42</v>
      </c>
      <c r="N154" s="44">
        <v>45646.0</v>
      </c>
      <c r="O154" s="36" t="s">
        <v>30</v>
      </c>
      <c r="P154" s="36" t="s">
        <v>31</v>
      </c>
      <c r="Q154" s="45"/>
      <c r="R154" s="45"/>
    </row>
    <row r="155" ht="22.5" customHeight="1">
      <c r="A155" s="32" t="s">
        <v>472</v>
      </c>
      <c r="B155" s="33" t="s">
        <v>473</v>
      </c>
      <c r="C155" s="35" t="s">
        <v>41</v>
      </c>
      <c r="D155" s="36">
        <v>6.6</v>
      </c>
      <c r="E155" s="37">
        <v>0.51</v>
      </c>
      <c r="F155" s="38">
        <v>7.583333333333333</v>
      </c>
      <c r="G155" s="39">
        <v>8.5</v>
      </c>
      <c r="H155" s="41">
        <v>6.3</v>
      </c>
      <c r="I155" s="41">
        <v>7.1</v>
      </c>
      <c r="J155" s="41">
        <v>8.1</v>
      </c>
      <c r="K155" s="41">
        <v>7.8</v>
      </c>
      <c r="L155" s="41">
        <v>7.7</v>
      </c>
      <c r="M155" s="43" t="s">
        <v>210</v>
      </c>
      <c r="N155" s="44">
        <v>46093.0</v>
      </c>
      <c r="O155" s="36"/>
      <c r="P155" s="36"/>
      <c r="Q155" s="45"/>
      <c r="R155" s="45"/>
    </row>
    <row r="156" ht="22.5" customHeight="1">
      <c r="A156" s="32" t="s">
        <v>474</v>
      </c>
      <c r="B156" s="33" t="s">
        <v>475</v>
      </c>
      <c r="C156" s="35" t="s">
        <v>41</v>
      </c>
      <c r="D156" s="36">
        <v>6.6</v>
      </c>
      <c r="E156" s="37">
        <v>0.7</v>
      </c>
      <c r="F156" s="38">
        <v>7.566666666666666</v>
      </c>
      <c r="G156" s="39">
        <v>7.8</v>
      </c>
      <c r="H156" s="41">
        <v>8.5</v>
      </c>
      <c r="I156" s="41">
        <v>6.5</v>
      </c>
      <c r="J156" s="41">
        <v>8.5</v>
      </c>
      <c r="K156" s="41">
        <v>7.6</v>
      </c>
      <c r="L156" s="41">
        <v>6.5</v>
      </c>
      <c r="M156" s="43" t="s">
        <v>381</v>
      </c>
      <c r="N156" s="44">
        <v>45646.0</v>
      </c>
      <c r="O156" s="50" t="s">
        <v>30</v>
      </c>
      <c r="P156" s="36" t="s">
        <v>31</v>
      </c>
      <c r="Q156" s="45"/>
      <c r="R156" s="45"/>
    </row>
    <row r="157" ht="22.5" customHeight="1">
      <c r="A157" s="32" t="s">
        <v>476</v>
      </c>
      <c r="B157" s="33" t="s">
        <v>477</v>
      </c>
      <c r="C157" s="35" t="s">
        <v>166</v>
      </c>
      <c r="D157" s="36">
        <v>6.7</v>
      </c>
      <c r="E157" s="37">
        <v>0.68</v>
      </c>
      <c r="F157" s="38">
        <v>7.550000000000001</v>
      </c>
      <c r="G157" s="39">
        <v>7.8</v>
      </c>
      <c r="H157" s="41">
        <v>8.2</v>
      </c>
      <c r="I157" s="41">
        <v>6.7</v>
      </c>
      <c r="J157" s="41">
        <v>7.8</v>
      </c>
      <c r="K157" s="41">
        <v>7.6</v>
      </c>
      <c r="L157" s="41">
        <v>7.2</v>
      </c>
      <c r="M157" s="43" t="s">
        <v>58</v>
      </c>
      <c r="N157" s="44">
        <v>45646.0</v>
      </c>
      <c r="O157" s="36" t="s">
        <v>30</v>
      </c>
      <c r="P157" s="36" t="s">
        <v>31</v>
      </c>
      <c r="Q157" s="45"/>
      <c r="R157" s="45"/>
    </row>
    <row r="158" ht="22.5" customHeight="1">
      <c r="A158" s="32" t="s">
        <v>478</v>
      </c>
      <c r="B158" s="33" t="s">
        <v>479</v>
      </c>
      <c r="C158" s="35" t="s">
        <v>263</v>
      </c>
      <c r="D158" s="36">
        <v>7.1</v>
      </c>
      <c r="E158" s="37">
        <v>0.77</v>
      </c>
      <c r="F158" s="38">
        <v>7.55</v>
      </c>
      <c r="G158" s="39">
        <v>7.6</v>
      </c>
      <c r="H158" s="41">
        <v>8.5</v>
      </c>
      <c r="I158" s="41">
        <v>6.7</v>
      </c>
      <c r="J158" s="41">
        <v>6.6</v>
      </c>
      <c r="K158" s="41">
        <v>7.8</v>
      </c>
      <c r="L158" s="41">
        <v>8.1</v>
      </c>
      <c r="M158" s="43" t="s">
        <v>317</v>
      </c>
      <c r="N158" s="44">
        <v>45887.0</v>
      </c>
      <c r="O158" s="36" t="s">
        <v>30</v>
      </c>
      <c r="P158" s="36" t="s">
        <v>31</v>
      </c>
      <c r="Q158" s="45"/>
      <c r="R158" s="45"/>
    </row>
    <row r="159" ht="22.5" customHeight="1">
      <c r="A159" s="32" t="s">
        <v>480</v>
      </c>
      <c r="B159" s="33" t="s">
        <v>481</v>
      </c>
      <c r="C159" s="35" t="s">
        <v>41</v>
      </c>
      <c r="D159" s="36">
        <v>7.0</v>
      </c>
      <c r="E159" s="37">
        <v>0.53</v>
      </c>
      <c r="F159" s="38">
        <v>7.5</v>
      </c>
      <c r="G159" s="39">
        <v>6.7</v>
      </c>
      <c r="H159" s="41">
        <v>5.6</v>
      </c>
      <c r="I159" s="41">
        <v>8.7</v>
      </c>
      <c r="J159" s="41">
        <v>8.6</v>
      </c>
      <c r="K159" s="41">
        <v>7.5</v>
      </c>
      <c r="L159" s="41">
        <v>7.9</v>
      </c>
      <c r="M159" s="43" t="s">
        <v>482</v>
      </c>
      <c r="N159" s="44">
        <v>45646.0</v>
      </c>
      <c r="O159" s="36" t="s">
        <v>30</v>
      </c>
      <c r="P159" s="36" t="s">
        <v>31</v>
      </c>
      <c r="Q159" s="45"/>
      <c r="R159" s="45"/>
    </row>
    <row r="160" ht="22.5" customHeight="1">
      <c r="A160" s="32" t="s">
        <v>483</v>
      </c>
      <c r="B160" s="33" t="s">
        <v>484</v>
      </c>
      <c r="C160" s="35" t="s">
        <v>41</v>
      </c>
      <c r="D160" s="36">
        <v>6.6</v>
      </c>
      <c r="E160" s="37">
        <v>0.79</v>
      </c>
      <c r="F160" s="38">
        <v>7.483333333333333</v>
      </c>
      <c r="G160" s="39">
        <v>6.8</v>
      </c>
      <c r="H160" s="41">
        <v>6.7</v>
      </c>
      <c r="I160" s="41">
        <v>6.5</v>
      </c>
      <c r="J160" s="41">
        <v>8.8</v>
      </c>
      <c r="K160" s="41">
        <v>7.2</v>
      </c>
      <c r="L160" s="41">
        <v>8.9</v>
      </c>
      <c r="M160" s="43" t="s">
        <v>120</v>
      </c>
      <c r="N160" s="44">
        <v>45628.0</v>
      </c>
      <c r="O160" s="36" t="s">
        <v>30</v>
      </c>
      <c r="P160" s="36" t="s">
        <v>31</v>
      </c>
      <c r="Q160" s="45"/>
      <c r="R160" s="45"/>
    </row>
    <row r="161" ht="22.5" customHeight="1">
      <c r="A161" s="32" t="s">
        <v>485</v>
      </c>
      <c r="B161" s="33" t="s">
        <v>486</v>
      </c>
      <c r="C161" s="35" t="s">
        <v>487</v>
      </c>
      <c r="D161" s="36">
        <v>6.5</v>
      </c>
      <c r="E161" s="37">
        <v>0.63</v>
      </c>
      <c r="F161" s="38">
        <v>7.466666666666668</v>
      </c>
      <c r="G161" s="39">
        <v>8.4</v>
      </c>
      <c r="H161" s="36">
        <v>7.6</v>
      </c>
      <c r="I161" s="36">
        <v>7.4</v>
      </c>
      <c r="J161" s="36">
        <v>7.1</v>
      </c>
      <c r="K161" s="36">
        <v>6.6</v>
      </c>
      <c r="L161" s="36">
        <v>7.7</v>
      </c>
      <c r="M161" s="43" t="s">
        <v>58</v>
      </c>
      <c r="N161" s="44">
        <v>46211.0</v>
      </c>
      <c r="O161" s="50" t="s">
        <v>30</v>
      </c>
      <c r="P161" s="36" t="s">
        <v>31</v>
      </c>
      <c r="Q161" s="45"/>
      <c r="R161" s="45"/>
    </row>
    <row r="162" ht="22.5" customHeight="1">
      <c r="A162" s="32" t="s">
        <v>488</v>
      </c>
      <c r="B162" s="33" t="s">
        <v>489</v>
      </c>
      <c r="C162" s="35" t="s">
        <v>100</v>
      </c>
      <c r="D162" s="36">
        <v>6.7</v>
      </c>
      <c r="E162" s="37">
        <v>0.67</v>
      </c>
      <c r="F162" s="38">
        <v>7.45</v>
      </c>
      <c r="G162" s="39">
        <v>8.0</v>
      </c>
      <c r="H162" s="41">
        <v>6.5</v>
      </c>
      <c r="I162" s="41">
        <v>6.0</v>
      </c>
      <c r="J162" s="41">
        <v>8.5</v>
      </c>
      <c r="K162" s="41">
        <v>8.5</v>
      </c>
      <c r="L162" s="41">
        <v>7.2</v>
      </c>
      <c r="M162" s="43" t="s">
        <v>490</v>
      </c>
      <c r="N162" s="44">
        <v>45625.0</v>
      </c>
      <c r="O162" s="50" t="s">
        <v>30</v>
      </c>
      <c r="P162" s="36" t="s">
        <v>31</v>
      </c>
      <c r="Q162" s="45"/>
      <c r="R162" s="45"/>
    </row>
    <row r="163" ht="22.5" customHeight="1">
      <c r="A163" s="32" t="s">
        <v>491</v>
      </c>
      <c r="B163" s="33" t="s">
        <v>492</v>
      </c>
      <c r="C163" s="35" t="s">
        <v>41</v>
      </c>
      <c r="D163" s="36">
        <v>6.4</v>
      </c>
      <c r="E163" s="37">
        <v>0.63</v>
      </c>
      <c r="F163" s="38">
        <v>7.45</v>
      </c>
      <c r="G163" s="39">
        <v>7.2</v>
      </c>
      <c r="H163" s="41">
        <v>7.2</v>
      </c>
      <c r="I163" s="41">
        <v>6.5</v>
      </c>
      <c r="J163" s="41">
        <v>7.4</v>
      </c>
      <c r="K163" s="41">
        <v>8.2</v>
      </c>
      <c r="L163" s="41">
        <v>8.2</v>
      </c>
      <c r="M163" s="43" t="s">
        <v>207</v>
      </c>
      <c r="N163" s="44">
        <v>46023.0</v>
      </c>
      <c r="O163" s="36" t="s">
        <v>30</v>
      </c>
      <c r="P163" s="36" t="s">
        <v>31</v>
      </c>
      <c r="Q163" s="45"/>
      <c r="R163" s="45"/>
    </row>
    <row r="164" ht="22.5" customHeight="1">
      <c r="A164" s="32" t="s">
        <v>493</v>
      </c>
      <c r="B164" s="33" t="s">
        <v>494</v>
      </c>
      <c r="C164" s="35" t="s">
        <v>41</v>
      </c>
      <c r="D164" s="36">
        <v>7.4</v>
      </c>
      <c r="E164" s="37">
        <v>0.9</v>
      </c>
      <c r="F164" s="38">
        <v>7.449999999999999</v>
      </c>
      <c r="G164" s="39">
        <v>6.8</v>
      </c>
      <c r="H164" s="41">
        <v>8.8</v>
      </c>
      <c r="I164" s="41">
        <v>7.4</v>
      </c>
      <c r="J164" s="41">
        <v>6.3</v>
      </c>
      <c r="K164" s="41">
        <v>7.0</v>
      </c>
      <c r="L164" s="41">
        <v>8.4</v>
      </c>
      <c r="M164" s="43" t="s">
        <v>136</v>
      </c>
      <c r="N164" s="44">
        <v>46085.0</v>
      </c>
      <c r="O164" s="36"/>
      <c r="P164" s="36"/>
      <c r="Q164" s="45"/>
      <c r="R164" s="45"/>
    </row>
    <row r="165" ht="22.5" customHeight="1">
      <c r="A165" s="32" t="s">
        <v>495</v>
      </c>
      <c r="B165" s="33" t="s">
        <v>496</v>
      </c>
      <c r="C165" s="35" t="s">
        <v>497</v>
      </c>
      <c r="D165" s="36">
        <v>8.0</v>
      </c>
      <c r="E165" s="37">
        <v>0.83</v>
      </c>
      <c r="F165" s="38">
        <v>7.433333333333333</v>
      </c>
      <c r="G165" s="39">
        <v>8.2</v>
      </c>
      <c r="H165" s="41">
        <v>8.0</v>
      </c>
      <c r="I165" s="41">
        <v>5.7</v>
      </c>
      <c r="J165" s="41">
        <v>7.0</v>
      </c>
      <c r="K165" s="41">
        <v>6.9</v>
      </c>
      <c r="L165" s="41">
        <v>8.8</v>
      </c>
      <c r="M165" s="43" t="s">
        <v>61</v>
      </c>
      <c r="N165" s="44">
        <v>46010.0</v>
      </c>
      <c r="O165" s="36" t="s">
        <v>30</v>
      </c>
      <c r="P165" s="36" t="s">
        <v>31</v>
      </c>
      <c r="Q165" s="45"/>
      <c r="R165" s="45"/>
    </row>
    <row r="166" ht="22.5" customHeight="1">
      <c r="A166" s="36" t="s">
        <v>498</v>
      </c>
      <c r="B166" s="33" t="s">
        <v>492</v>
      </c>
      <c r="C166" s="35" t="s">
        <v>432</v>
      </c>
      <c r="D166" s="36">
        <v>6.0</v>
      </c>
      <c r="E166" s="37"/>
      <c r="F166" s="38">
        <v>7.433333333333333</v>
      </c>
      <c r="G166" s="39">
        <v>7.4</v>
      </c>
      <c r="H166" s="41">
        <v>7.4</v>
      </c>
      <c r="I166" s="41">
        <v>6.5</v>
      </c>
      <c r="J166" s="41">
        <v>7.7</v>
      </c>
      <c r="K166" s="36">
        <v>7.8</v>
      </c>
      <c r="L166" s="41">
        <v>7.8</v>
      </c>
      <c r="M166" s="43" t="s">
        <v>64</v>
      </c>
      <c r="N166" s="44">
        <v>46027.0</v>
      </c>
      <c r="O166" s="50" t="s">
        <v>30</v>
      </c>
      <c r="P166" s="36" t="s">
        <v>31</v>
      </c>
      <c r="Q166" s="45"/>
      <c r="R166" s="45"/>
    </row>
    <row r="167" ht="22.5" customHeight="1">
      <c r="A167" s="32" t="s">
        <v>499</v>
      </c>
      <c r="B167" s="33" t="s">
        <v>500</v>
      </c>
      <c r="C167" s="35" t="s">
        <v>91</v>
      </c>
      <c r="D167" s="36">
        <v>7.3</v>
      </c>
      <c r="E167" s="37">
        <v>0.88</v>
      </c>
      <c r="F167" s="38">
        <v>7.416666666666667</v>
      </c>
      <c r="G167" s="39">
        <v>8.8</v>
      </c>
      <c r="H167" s="41">
        <v>7.4</v>
      </c>
      <c r="I167" s="41">
        <v>6.3</v>
      </c>
      <c r="J167" s="41">
        <v>7.2</v>
      </c>
      <c r="K167" s="41">
        <v>7.5</v>
      </c>
      <c r="L167" s="41">
        <v>7.3</v>
      </c>
      <c r="M167" s="43" t="s">
        <v>175</v>
      </c>
      <c r="N167" s="44">
        <v>46027.0</v>
      </c>
      <c r="O167" s="50" t="s">
        <v>93</v>
      </c>
      <c r="P167" s="36" t="s">
        <v>31</v>
      </c>
      <c r="Q167" s="45"/>
      <c r="R167" s="45"/>
    </row>
    <row r="168" ht="22.5" customHeight="1">
      <c r="A168" s="32" t="s">
        <v>501</v>
      </c>
      <c r="B168" s="33" t="s">
        <v>502</v>
      </c>
      <c r="C168" s="35" t="s">
        <v>427</v>
      </c>
      <c r="D168" s="36">
        <v>7.9</v>
      </c>
      <c r="E168" s="37">
        <v>0.97</v>
      </c>
      <c r="F168" s="38">
        <v>7.383333333333334</v>
      </c>
      <c r="G168" s="39">
        <v>7.7</v>
      </c>
      <c r="H168" s="41">
        <v>8.0</v>
      </c>
      <c r="I168" s="41">
        <v>5.5</v>
      </c>
      <c r="J168" s="41">
        <v>5.9</v>
      </c>
      <c r="K168" s="41">
        <v>8.6</v>
      </c>
      <c r="L168" s="41">
        <v>8.6</v>
      </c>
      <c r="M168" s="43" t="s">
        <v>46</v>
      </c>
      <c r="N168" s="44">
        <v>46038.0</v>
      </c>
      <c r="O168" s="50" t="s">
        <v>30</v>
      </c>
      <c r="P168" s="36" t="s">
        <v>31</v>
      </c>
      <c r="Q168" s="45"/>
      <c r="R168" s="45"/>
    </row>
    <row r="169" ht="22.5" customHeight="1">
      <c r="A169" s="32" t="s">
        <v>503</v>
      </c>
      <c r="B169" s="33" t="s">
        <v>504</v>
      </c>
      <c r="C169" s="35" t="s">
        <v>200</v>
      </c>
      <c r="D169" s="36">
        <v>6.9</v>
      </c>
      <c r="E169" s="37">
        <v>0.71</v>
      </c>
      <c r="F169" s="38">
        <v>7.366666666666667</v>
      </c>
      <c r="G169" s="39">
        <v>8.0</v>
      </c>
      <c r="H169" s="41">
        <v>6.6</v>
      </c>
      <c r="I169" s="41">
        <v>7.3</v>
      </c>
      <c r="J169" s="41">
        <v>7.4</v>
      </c>
      <c r="K169" s="41">
        <v>7.2</v>
      </c>
      <c r="L169" s="41">
        <v>7.7</v>
      </c>
      <c r="M169" s="43" t="s">
        <v>267</v>
      </c>
      <c r="N169" s="44">
        <v>46092.0</v>
      </c>
      <c r="O169" s="36"/>
      <c r="P169" s="36"/>
      <c r="Q169" s="45"/>
      <c r="R169" s="45"/>
    </row>
    <row r="170" ht="22.5" customHeight="1">
      <c r="A170" s="32" t="s">
        <v>505</v>
      </c>
      <c r="B170" s="33" t="s">
        <v>506</v>
      </c>
      <c r="C170" s="35" t="s">
        <v>507</v>
      </c>
      <c r="D170" s="36">
        <v>6.3</v>
      </c>
      <c r="E170" s="37">
        <v>0.78</v>
      </c>
      <c r="F170" s="38">
        <v>7.349999999999999</v>
      </c>
      <c r="G170" s="39">
        <v>7.7</v>
      </c>
      <c r="H170" s="41">
        <v>7.8</v>
      </c>
      <c r="I170" s="41">
        <v>6.5</v>
      </c>
      <c r="J170" s="41">
        <v>6.0</v>
      </c>
      <c r="K170" s="41">
        <v>7.4</v>
      </c>
      <c r="L170" s="41">
        <v>8.7</v>
      </c>
      <c r="M170" s="43" t="s">
        <v>228</v>
      </c>
      <c r="N170" s="44">
        <v>45957.0</v>
      </c>
      <c r="O170" s="36" t="s">
        <v>30</v>
      </c>
      <c r="P170" s="36" t="s">
        <v>31</v>
      </c>
      <c r="Q170" s="45"/>
      <c r="R170" s="45"/>
    </row>
    <row r="171" ht="22.5" customHeight="1">
      <c r="A171" s="32" t="s">
        <v>508</v>
      </c>
      <c r="B171" s="33" t="s">
        <v>509</v>
      </c>
      <c r="C171" s="35" t="s">
        <v>225</v>
      </c>
      <c r="D171" s="36">
        <v>7.7</v>
      </c>
      <c r="E171" s="37">
        <v>0.77</v>
      </c>
      <c r="F171" s="38">
        <v>7.333333333333333</v>
      </c>
      <c r="G171" s="39">
        <v>6.4</v>
      </c>
      <c r="H171" s="41">
        <v>8.0</v>
      </c>
      <c r="I171" s="41">
        <v>6.7</v>
      </c>
      <c r="J171" s="41">
        <v>5.5</v>
      </c>
      <c r="K171" s="41">
        <v>8.5</v>
      </c>
      <c r="L171" s="41">
        <v>8.9</v>
      </c>
      <c r="M171" s="43" t="s">
        <v>67</v>
      </c>
      <c r="N171" s="44">
        <v>46027.0</v>
      </c>
      <c r="O171" s="36" t="s">
        <v>30</v>
      </c>
      <c r="P171" s="36" t="s">
        <v>31</v>
      </c>
      <c r="Q171" s="45"/>
      <c r="R171" s="45"/>
    </row>
    <row r="172" ht="22.5" customHeight="1">
      <c r="A172" s="32" t="s">
        <v>510</v>
      </c>
      <c r="B172" s="33" t="s">
        <v>511</v>
      </c>
      <c r="C172" s="35" t="s">
        <v>197</v>
      </c>
      <c r="D172" s="36">
        <v>6.8</v>
      </c>
      <c r="E172" s="37">
        <v>0.76</v>
      </c>
      <c r="F172" s="38">
        <v>7.316666666666667</v>
      </c>
      <c r="G172" s="39">
        <v>7.8</v>
      </c>
      <c r="H172" s="41">
        <v>6.5</v>
      </c>
      <c r="I172" s="41">
        <v>7.8</v>
      </c>
      <c r="J172" s="41">
        <v>8.6</v>
      </c>
      <c r="K172" s="41">
        <v>6.5</v>
      </c>
      <c r="L172" s="41">
        <v>6.7</v>
      </c>
      <c r="M172" s="43" t="s">
        <v>337</v>
      </c>
      <c r="N172" s="44">
        <v>45886.0</v>
      </c>
      <c r="O172" s="36" t="s">
        <v>30</v>
      </c>
      <c r="P172" s="36" t="s">
        <v>31</v>
      </c>
      <c r="Q172" s="45"/>
      <c r="R172" s="45"/>
    </row>
    <row r="173" ht="22.5" customHeight="1">
      <c r="A173" s="32" t="s">
        <v>512</v>
      </c>
      <c r="B173" s="33" t="s">
        <v>513</v>
      </c>
      <c r="C173" s="35" t="s">
        <v>80</v>
      </c>
      <c r="D173" s="36">
        <v>6.7</v>
      </c>
      <c r="E173" s="37">
        <v>0.75</v>
      </c>
      <c r="F173" s="38">
        <v>7.316666666666666</v>
      </c>
      <c r="G173" s="39">
        <v>7.2</v>
      </c>
      <c r="H173" s="41">
        <v>7.3</v>
      </c>
      <c r="I173" s="41">
        <v>7.7</v>
      </c>
      <c r="J173" s="41">
        <v>7.7</v>
      </c>
      <c r="K173" s="41">
        <v>7.2</v>
      </c>
      <c r="L173" s="41">
        <v>6.8</v>
      </c>
      <c r="M173" s="43" t="s">
        <v>142</v>
      </c>
      <c r="N173" s="44">
        <v>45863.0</v>
      </c>
      <c r="O173" s="36" t="s">
        <v>30</v>
      </c>
      <c r="P173" s="36" t="s">
        <v>31</v>
      </c>
      <c r="Q173" s="45"/>
      <c r="R173" s="45"/>
    </row>
    <row r="174" ht="22.5" customHeight="1">
      <c r="A174" s="32" t="s">
        <v>514</v>
      </c>
      <c r="B174" s="33" t="s">
        <v>515</v>
      </c>
      <c r="C174" s="35" t="s">
        <v>516</v>
      </c>
      <c r="D174" s="36">
        <v>6.7</v>
      </c>
      <c r="E174" s="37">
        <v>0.62</v>
      </c>
      <c r="F174" s="38">
        <v>7.3</v>
      </c>
      <c r="G174" s="39">
        <v>6.7</v>
      </c>
      <c r="H174" s="41">
        <v>8.8</v>
      </c>
      <c r="I174" s="41">
        <v>5.5</v>
      </c>
      <c r="J174" s="41">
        <v>7.8</v>
      </c>
      <c r="K174" s="41">
        <v>8.5</v>
      </c>
      <c r="L174" s="41">
        <v>6.5</v>
      </c>
      <c r="M174" s="43" t="s">
        <v>50</v>
      </c>
      <c r="N174" s="44">
        <v>45712.0</v>
      </c>
      <c r="O174" s="36" t="s">
        <v>30</v>
      </c>
      <c r="P174" s="36" t="s">
        <v>31</v>
      </c>
      <c r="Q174" s="45"/>
      <c r="R174" s="45"/>
    </row>
    <row r="175" ht="22.5" customHeight="1">
      <c r="A175" s="32" t="s">
        <v>517</v>
      </c>
      <c r="B175" s="33" t="s">
        <v>518</v>
      </c>
      <c r="C175" s="35" t="s">
        <v>129</v>
      </c>
      <c r="D175" s="36">
        <v>5.7</v>
      </c>
      <c r="E175" s="37">
        <v>0.27</v>
      </c>
      <c r="F175" s="38">
        <v>7.283333333333334</v>
      </c>
      <c r="G175" s="39">
        <v>8.5</v>
      </c>
      <c r="H175" s="41">
        <v>8.5</v>
      </c>
      <c r="I175" s="41">
        <v>6.5</v>
      </c>
      <c r="J175" s="41">
        <v>7.2</v>
      </c>
      <c r="K175" s="41">
        <v>7.5</v>
      </c>
      <c r="L175" s="41">
        <v>5.5</v>
      </c>
      <c r="M175" s="43" t="s">
        <v>97</v>
      </c>
      <c r="N175" s="44">
        <v>45646.0</v>
      </c>
      <c r="O175" s="36" t="s">
        <v>30</v>
      </c>
      <c r="P175" s="36" t="s">
        <v>31</v>
      </c>
      <c r="Q175" s="45"/>
      <c r="R175" s="45"/>
    </row>
    <row r="176" ht="22.5" customHeight="1">
      <c r="A176" s="32" t="s">
        <v>519</v>
      </c>
      <c r="B176" s="35" t="s">
        <v>520</v>
      </c>
      <c r="C176" s="35" t="s">
        <v>521</v>
      </c>
      <c r="D176" s="36">
        <v>6.8</v>
      </c>
      <c r="E176" s="37">
        <v>0.82</v>
      </c>
      <c r="F176" s="38">
        <v>7.283333333333332</v>
      </c>
      <c r="G176" s="39">
        <v>7.3</v>
      </c>
      <c r="H176" s="41">
        <v>6.8</v>
      </c>
      <c r="I176" s="41">
        <v>8.0</v>
      </c>
      <c r="J176" s="41">
        <v>8.7</v>
      </c>
      <c r="K176" s="41">
        <v>6.5</v>
      </c>
      <c r="L176" s="41">
        <v>6.4</v>
      </c>
      <c r="M176" s="43" t="s">
        <v>150</v>
      </c>
      <c r="N176" s="44">
        <v>45973.0</v>
      </c>
      <c r="O176" s="36" t="s">
        <v>30</v>
      </c>
      <c r="P176" s="36" t="s">
        <v>31</v>
      </c>
      <c r="Q176" s="45"/>
      <c r="R176" s="45"/>
    </row>
    <row r="177" ht="22.5" customHeight="1">
      <c r="A177" s="32" t="s">
        <v>522</v>
      </c>
      <c r="B177" s="33" t="s">
        <v>523</v>
      </c>
      <c r="C177" s="35" t="s">
        <v>41</v>
      </c>
      <c r="D177" s="36">
        <v>6.9</v>
      </c>
      <c r="E177" s="37">
        <v>0.8</v>
      </c>
      <c r="F177" s="38">
        <v>7.25</v>
      </c>
      <c r="G177" s="39">
        <v>9.3</v>
      </c>
      <c r="H177" s="41">
        <v>7.0</v>
      </c>
      <c r="I177" s="41">
        <v>6.1</v>
      </c>
      <c r="J177" s="41">
        <v>6.8</v>
      </c>
      <c r="K177" s="41">
        <v>7.0</v>
      </c>
      <c r="L177" s="41">
        <v>7.3</v>
      </c>
      <c r="M177" s="43" t="s">
        <v>482</v>
      </c>
      <c r="N177" s="44">
        <v>45608.0</v>
      </c>
      <c r="O177" s="50" t="s">
        <v>30</v>
      </c>
      <c r="P177" s="36" t="s">
        <v>31</v>
      </c>
      <c r="Q177" s="45"/>
      <c r="R177" s="45"/>
    </row>
    <row r="178" ht="22.5" customHeight="1">
      <c r="A178" s="32" t="s">
        <v>524</v>
      </c>
      <c r="B178" s="33" t="s">
        <v>525</v>
      </c>
      <c r="C178" s="35" t="s">
        <v>28</v>
      </c>
      <c r="D178" s="36">
        <v>6.6</v>
      </c>
      <c r="E178" s="37">
        <v>0.84</v>
      </c>
      <c r="F178" s="38">
        <v>7.233333333333334</v>
      </c>
      <c r="G178" s="39">
        <v>7.6</v>
      </c>
      <c r="H178" s="41">
        <v>7.7</v>
      </c>
      <c r="I178" s="41">
        <v>6.9</v>
      </c>
      <c r="J178" s="41">
        <v>8.2</v>
      </c>
      <c r="K178" s="41">
        <v>6.5</v>
      </c>
      <c r="L178" s="41">
        <v>6.5</v>
      </c>
      <c r="M178" s="43" t="s">
        <v>172</v>
      </c>
      <c r="N178" s="44">
        <v>45646.0</v>
      </c>
      <c r="O178" s="50" t="s">
        <v>30</v>
      </c>
      <c r="P178" s="36" t="s">
        <v>31</v>
      </c>
      <c r="Q178" s="45"/>
      <c r="R178" s="45"/>
    </row>
    <row r="179" ht="22.5" customHeight="1">
      <c r="A179" s="32" t="s">
        <v>526</v>
      </c>
      <c r="B179" s="33" t="s">
        <v>527</v>
      </c>
      <c r="C179" s="63" t="s">
        <v>528</v>
      </c>
      <c r="D179" s="36">
        <v>8.2</v>
      </c>
      <c r="E179" s="37">
        <v>0.85</v>
      </c>
      <c r="F179" s="38">
        <v>7.233333333333333</v>
      </c>
      <c r="G179" s="39">
        <v>7.5</v>
      </c>
      <c r="H179" s="36">
        <v>8.3</v>
      </c>
      <c r="I179" s="36">
        <v>5.5</v>
      </c>
      <c r="J179" s="36">
        <v>8.3</v>
      </c>
      <c r="K179" s="36">
        <v>6.5</v>
      </c>
      <c r="L179" s="36">
        <v>7.3</v>
      </c>
      <c r="M179" s="43" t="s">
        <v>337</v>
      </c>
      <c r="N179" s="44">
        <v>45608.0</v>
      </c>
      <c r="O179" s="50" t="s">
        <v>30</v>
      </c>
      <c r="P179" s="36" t="s">
        <v>31</v>
      </c>
      <c r="Q179" s="45"/>
      <c r="R179" s="45"/>
    </row>
    <row r="180" ht="22.5" customHeight="1">
      <c r="A180" s="32" t="s">
        <v>529</v>
      </c>
      <c r="B180" s="33" t="s">
        <v>530</v>
      </c>
      <c r="C180" s="35" t="s">
        <v>531</v>
      </c>
      <c r="D180" s="36">
        <v>8.2</v>
      </c>
      <c r="E180" s="37">
        <v>0.86</v>
      </c>
      <c r="F180" s="38">
        <v>7.233333333333333</v>
      </c>
      <c r="G180" s="39">
        <v>6.8</v>
      </c>
      <c r="H180" s="41">
        <v>8.4</v>
      </c>
      <c r="I180" s="41">
        <v>8.3</v>
      </c>
      <c r="J180" s="41">
        <v>7.2</v>
      </c>
      <c r="K180" s="41">
        <v>6.2</v>
      </c>
      <c r="L180" s="41">
        <v>6.5</v>
      </c>
      <c r="M180" s="43" t="s">
        <v>267</v>
      </c>
      <c r="N180" s="44">
        <v>46245.0</v>
      </c>
      <c r="O180" s="36"/>
      <c r="P180" s="36"/>
      <c r="Q180" s="45"/>
      <c r="R180" s="45"/>
    </row>
    <row r="181" ht="22.5" customHeight="1">
      <c r="A181" s="32" t="s">
        <v>532</v>
      </c>
      <c r="B181" s="33" t="s">
        <v>253</v>
      </c>
      <c r="C181" s="35" t="s">
        <v>533</v>
      </c>
      <c r="D181" s="36">
        <v>7.2</v>
      </c>
      <c r="E181" s="37">
        <v>0.55</v>
      </c>
      <c r="F181" s="38">
        <v>7.216666666666666</v>
      </c>
      <c r="G181" s="39">
        <v>8.5</v>
      </c>
      <c r="H181" s="41">
        <v>8.2</v>
      </c>
      <c r="I181" s="41">
        <v>6.5</v>
      </c>
      <c r="J181" s="41">
        <v>6.2</v>
      </c>
      <c r="K181" s="41">
        <v>7.5</v>
      </c>
      <c r="L181" s="41">
        <v>6.4</v>
      </c>
      <c r="M181" s="43" t="s">
        <v>490</v>
      </c>
      <c r="N181" s="44">
        <v>46054.0</v>
      </c>
      <c r="O181" s="36" t="s">
        <v>30</v>
      </c>
      <c r="P181" s="36" t="s">
        <v>31</v>
      </c>
      <c r="Q181" s="45"/>
      <c r="R181" s="45"/>
    </row>
    <row r="182" ht="22.5" customHeight="1">
      <c r="A182" s="32" t="s">
        <v>534</v>
      </c>
      <c r="B182" s="33" t="s">
        <v>535</v>
      </c>
      <c r="C182" s="35" t="s">
        <v>166</v>
      </c>
      <c r="D182" s="36">
        <v>6.2</v>
      </c>
      <c r="E182" s="37">
        <v>0.35</v>
      </c>
      <c r="F182" s="38">
        <v>7.2</v>
      </c>
      <c r="G182" s="39">
        <v>8.2</v>
      </c>
      <c r="H182" s="41">
        <v>7.0</v>
      </c>
      <c r="I182" s="41">
        <v>6.5</v>
      </c>
      <c r="J182" s="41">
        <v>9.3</v>
      </c>
      <c r="K182" s="41">
        <v>6.2</v>
      </c>
      <c r="L182" s="41">
        <v>6.0</v>
      </c>
      <c r="M182" s="43" t="s">
        <v>536</v>
      </c>
      <c r="N182" s="44">
        <v>46079.0</v>
      </c>
      <c r="O182" s="36" t="s">
        <v>30</v>
      </c>
      <c r="P182" s="36" t="s">
        <v>31</v>
      </c>
      <c r="Q182" s="45"/>
      <c r="R182" s="45"/>
    </row>
    <row r="183" ht="22.5" customHeight="1">
      <c r="A183" s="32" t="s">
        <v>537</v>
      </c>
      <c r="B183" s="33" t="s">
        <v>538</v>
      </c>
      <c r="C183" s="35" t="s">
        <v>539</v>
      </c>
      <c r="D183" s="36">
        <v>7.2</v>
      </c>
      <c r="E183" s="37">
        <v>0.51</v>
      </c>
      <c r="F183" s="38">
        <v>7.1833333333333345</v>
      </c>
      <c r="G183" s="39">
        <v>7.0</v>
      </c>
      <c r="H183" s="41">
        <v>6.9</v>
      </c>
      <c r="I183" s="41">
        <v>5.2</v>
      </c>
      <c r="J183" s="41">
        <v>7.8</v>
      </c>
      <c r="K183" s="41">
        <v>8.0</v>
      </c>
      <c r="L183" s="41">
        <v>8.2</v>
      </c>
      <c r="M183" s="43" t="s">
        <v>213</v>
      </c>
      <c r="N183" s="44">
        <v>45874.0</v>
      </c>
      <c r="O183" s="36" t="s">
        <v>30</v>
      </c>
      <c r="P183" s="36" t="s">
        <v>31</v>
      </c>
      <c r="Q183" s="45"/>
      <c r="R183" s="45"/>
    </row>
    <row r="184" ht="22.5" customHeight="1">
      <c r="A184" s="32" t="s">
        <v>540</v>
      </c>
      <c r="B184" s="33" t="s">
        <v>541</v>
      </c>
      <c r="C184" s="35" t="s">
        <v>100</v>
      </c>
      <c r="D184" s="36">
        <v>5.7</v>
      </c>
      <c r="E184" s="37">
        <v>0.26</v>
      </c>
      <c r="F184" s="38">
        <v>7.183333333333334</v>
      </c>
      <c r="G184" s="39">
        <v>6.7</v>
      </c>
      <c r="H184" s="41">
        <v>7.7</v>
      </c>
      <c r="I184" s="41">
        <v>7.3</v>
      </c>
      <c r="J184" s="41">
        <v>7.8</v>
      </c>
      <c r="K184" s="41">
        <v>7.1</v>
      </c>
      <c r="L184" s="41">
        <v>6.5</v>
      </c>
      <c r="M184" s="43" t="s">
        <v>334</v>
      </c>
      <c r="N184" s="44">
        <v>45846.0</v>
      </c>
      <c r="O184" s="36" t="s">
        <v>30</v>
      </c>
      <c r="P184" s="36" t="s">
        <v>31</v>
      </c>
      <c r="Q184" s="45"/>
      <c r="R184" s="45"/>
    </row>
    <row r="185" ht="22.5" customHeight="1">
      <c r="A185" s="32" t="s">
        <v>542</v>
      </c>
      <c r="B185" s="33" t="s">
        <v>543</v>
      </c>
      <c r="C185" s="35" t="s">
        <v>166</v>
      </c>
      <c r="D185" s="36">
        <v>5.6</v>
      </c>
      <c r="E185" s="37">
        <v>0.18</v>
      </c>
      <c r="F185" s="38">
        <v>7.166666666666667</v>
      </c>
      <c r="G185" s="39">
        <v>7.4</v>
      </c>
      <c r="H185" s="41">
        <v>8.1</v>
      </c>
      <c r="I185" s="41">
        <v>6.7</v>
      </c>
      <c r="J185" s="41">
        <v>8.9</v>
      </c>
      <c r="K185" s="41">
        <v>5.5</v>
      </c>
      <c r="L185" s="41">
        <v>6.4</v>
      </c>
      <c r="M185" s="43" t="s">
        <v>544</v>
      </c>
      <c r="N185" s="44">
        <v>46081.0</v>
      </c>
      <c r="O185" s="36" t="s">
        <v>30</v>
      </c>
      <c r="P185" s="36" t="s">
        <v>31</v>
      </c>
      <c r="Q185" s="45"/>
      <c r="R185" s="45"/>
    </row>
    <row r="186" ht="22.5" customHeight="1">
      <c r="A186" s="32" t="s">
        <v>545</v>
      </c>
      <c r="B186" s="33" t="s">
        <v>546</v>
      </c>
      <c r="C186" s="35" t="s">
        <v>166</v>
      </c>
      <c r="D186" s="36">
        <v>5.2</v>
      </c>
      <c r="E186" s="37">
        <v>0.16</v>
      </c>
      <c r="F186" s="38">
        <v>7.116666666666667</v>
      </c>
      <c r="G186" s="39">
        <v>7.4</v>
      </c>
      <c r="H186" s="41">
        <v>8.0</v>
      </c>
      <c r="I186" s="41">
        <v>6.2</v>
      </c>
      <c r="J186" s="41">
        <v>8.8</v>
      </c>
      <c r="K186" s="41">
        <v>6.0</v>
      </c>
      <c r="L186" s="41">
        <v>6.3</v>
      </c>
      <c r="M186" s="43" t="s">
        <v>536</v>
      </c>
      <c r="N186" s="44">
        <v>46081.0</v>
      </c>
      <c r="O186" s="36" t="s">
        <v>30</v>
      </c>
      <c r="P186" s="36" t="s">
        <v>31</v>
      </c>
      <c r="Q186" s="45"/>
      <c r="R186" s="45"/>
    </row>
    <row r="187" ht="22.5" customHeight="1">
      <c r="A187" s="32" t="s">
        <v>547</v>
      </c>
      <c r="B187" s="55" t="s">
        <v>548</v>
      </c>
      <c r="C187" s="56" t="s">
        <v>159</v>
      </c>
      <c r="D187" s="36">
        <v>6.7</v>
      </c>
      <c r="E187" s="37"/>
      <c r="F187" s="38">
        <v>7.116666666666666</v>
      </c>
      <c r="G187" s="39">
        <v>7.3</v>
      </c>
      <c r="H187" s="36">
        <v>5.6</v>
      </c>
      <c r="I187" s="36">
        <v>5.3</v>
      </c>
      <c r="J187" s="36">
        <v>7.6</v>
      </c>
      <c r="K187" s="36">
        <v>8.8</v>
      </c>
      <c r="L187" s="36">
        <v>8.1</v>
      </c>
      <c r="M187" s="57" t="s">
        <v>322</v>
      </c>
      <c r="N187" s="44">
        <v>46229.0</v>
      </c>
      <c r="O187" s="36" t="s">
        <v>30</v>
      </c>
      <c r="P187" s="36" t="s">
        <v>31</v>
      </c>
      <c r="Q187" s="45"/>
      <c r="R187" s="45"/>
    </row>
    <row r="188" ht="22.5" customHeight="1">
      <c r="A188" s="32" t="s">
        <v>549</v>
      </c>
      <c r="B188" s="33" t="s">
        <v>550</v>
      </c>
      <c r="C188" s="35" t="s">
        <v>100</v>
      </c>
      <c r="D188" s="36">
        <v>7.3</v>
      </c>
      <c r="E188" s="37">
        <v>0.92</v>
      </c>
      <c r="F188" s="38">
        <v>7.099999999999999</v>
      </c>
      <c r="G188" s="39">
        <v>7.3</v>
      </c>
      <c r="H188" s="41">
        <v>7.6</v>
      </c>
      <c r="I188" s="41">
        <v>6.3</v>
      </c>
      <c r="J188" s="41">
        <v>8.6</v>
      </c>
      <c r="K188" s="41">
        <v>6.3</v>
      </c>
      <c r="L188" s="41">
        <v>6.5</v>
      </c>
      <c r="M188" s="43" t="s">
        <v>142</v>
      </c>
      <c r="N188" s="44">
        <v>45627.0</v>
      </c>
      <c r="O188" s="50" t="s">
        <v>30</v>
      </c>
      <c r="P188" s="36" t="s">
        <v>31</v>
      </c>
      <c r="Q188" s="45"/>
      <c r="R188" s="45"/>
    </row>
    <row r="189" ht="22.5" customHeight="1">
      <c r="A189" s="32" t="s">
        <v>551</v>
      </c>
      <c r="B189" s="33" t="s">
        <v>552</v>
      </c>
      <c r="C189" s="35" t="s">
        <v>553</v>
      </c>
      <c r="D189" s="36">
        <v>7.5</v>
      </c>
      <c r="E189" s="37">
        <v>0.65</v>
      </c>
      <c r="F189" s="38">
        <v>7.099999999999999</v>
      </c>
      <c r="G189" s="39">
        <v>8.0</v>
      </c>
      <c r="H189" s="41">
        <v>7.8</v>
      </c>
      <c r="I189" s="41">
        <v>5.8</v>
      </c>
      <c r="J189" s="41">
        <v>7.2</v>
      </c>
      <c r="K189" s="41">
        <v>7.0</v>
      </c>
      <c r="L189" s="41">
        <v>6.8</v>
      </c>
      <c r="M189" s="43" t="s">
        <v>67</v>
      </c>
      <c r="N189" s="44">
        <v>46194.0</v>
      </c>
      <c r="O189" s="36"/>
      <c r="P189" s="36"/>
      <c r="Q189" s="45"/>
      <c r="R189" s="45"/>
    </row>
    <row r="190" ht="22.5" customHeight="1">
      <c r="A190" s="36" t="s">
        <v>554</v>
      </c>
      <c r="B190" s="33" t="s">
        <v>555</v>
      </c>
      <c r="C190" s="35" t="s">
        <v>91</v>
      </c>
      <c r="D190" s="36">
        <v>7.3</v>
      </c>
      <c r="E190" s="37">
        <v>0.89</v>
      </c>
      <c r="F190" s="38">
        <v>7.083333333333333</v>
      </c>
      <c r="G190" s="39">
        <v>8.6</v>
      </c>
      <c r="H190" s="41">
        <v>6.5</v>
      </c>
      <c r="I190" s="41">
        <v>6.6</v>
      </c>
      <c r="J190" s="41">
        <v>6.5</v>
      </c>
      <c r="K190" s="41">
        <v>6.5</v>
      </c>
      <c r="L190" s="41">
        <v>7.8</v>
      </c>
      <c r="M190" s="43" t="s">
        <v>235</v>
      </c>
      <c r="N190" s="44">
        <v>45646.0</v>
      </c>
      <c r="O190" s="50" t="s">
        <v>93</v>
      </c>
      <c r="P190" s="36" t="s">
        <v>31</v>
      </c>
      <c r="Q190" s="45"/>
      <c r="R190" s="45"/>
    </row>
    <row r="191" ht="22.5" customHeight="1">
      <c r="A191" s="32" t="s">
        <v>556</v>
      </c>
      <c r="B191" s="33" t="s">
        <v>557</v>
      </c>
      <c r="C191" s="35" t="s">
        <v>558</v>
      </c>
      <c r="D191" s="36">
        <v>6.8</v>
      </c>
      <c r="E191" s="37">
        <v>0.89</v>
      </c>
      <c r="F191" s="38">
        <v>7.066666666666666</v>
      </c>
      <c r="G191" s="39">
        <v>8.1</v>
      </c>
      <c r="H191" s="41">
        <v>7.1</v>
      </c>
      <c r="I191" s="41">
        <v>6.9</v>
      </c>
      <c r="J191" s="41">
        <v>7.4</v>
      </c>
      <c r="K191" s="41">
        <v>5.8</v>
      </c>
      <c r="L191" s="41">
        <v>7.1</v>
      </c>
      <c r="M191" s="43" t="s">
        <v>442</v>
      </c>
      <c r="N191" s="44">
        <v>45892.0</v>
      </c>
      <c r="O191" s="36" t="s">
        <v>30</v>
      </c>
      <c r="P191" s="36" t="s">
        <v>31</v>
      </c>
      <c r="Q191" s="45"/>
      <c r="R191" s="45"/>
    </row>
    <row r="192" ht="22.5" customHeight="1">
      <c r="A192" s="32" t="s">
        <v>559</v>
      </c>
      <c r="B192" s="33" t="s">
        <v>560</v>
      </c>
      <c r="C192" s="35" t="s">
        <v>279</v>
      </c>
      <c r="D192" s="36">
        <v>6.6</v>
      </c>
      <c r="E192" s="37">
        <v>0.56</v>
      </c>
      <c r="F192" s="38">
        <v>7.066666666666666</v>
      </c>
      <c r="G192" s="39">
        <v>8.2</v>
      </c>
      <c r="H192" s="41">
        <v>7.4</v>
      </c>
      <c r="I192" s="41">
        <v>6.3</v>
      </c>
      <c r="J192" s="41">
        <v>7.3</v>
      </c>
      <c r="K192" s="41">
        <v>7.3</v>
      </c>
      <c r="L192" s="41">
        <v>5.9</v>
      </c>
      <c r="M192" s="43" t="s">
        <v>345</v>
      </c>
      <c r="N192" s="44">
        <v>46080.0</v>
      </c>
      <c r="O192" s="36" t="s">
        <v>30</v>
      </c>
      <c r="P192" s="36" t="s">
        <v>31</v>
      </c>
      <c r="Q192" s="45"/>
      <c r="R192" s="45"/>
    </row>
    <row r="193" ht="22.5" customHeight="1">
      <c r="A193" s="32" t="s">
        <v>561</v>
      </c>
      <c r="B193" s="33" t="s">
        <v>562</v>
      </c>
      <c r="C193" s="35" t="s">
        <v>166</v>
      </c>
      <c r="D193" s="36">
        <v>6.4</v>
      </c>
      <c r="E193" s="37">
        <v>0.34</v>
      </c>
      <c r="F193" s="38">
        <v>7.066666666666666</v>
      </c>
      <c r="G193" s="39">
        <v>7.0</v>
      </c>
      <c r="H193" s="41">
        <v>7.2</v>
      </c>
      <c r="I193" s="41">
        <v>5.5</v>
      </c>
      <c r="J193" s="41">
        <v>8.1</v>
      </c>
      <c r="K193" s="41">
        <v>7.5</v>
      </c>
      <c r="L193" s="41">
        <v>7.1</v>
      </c>
      <c r="M193" s="43" t="s">
        <v>204</v>
      </c>
      <c r="N193" s="44">
        <v>45874.0</v>
      </c>
      <c r="O193" s="36" t="s">
        <v>30</v>
      </c>
      <c r="P193" s="36" t="s">
        <v>31</v>
      </c>
      <c r="Q193" s="45"/>
      <c r="R193" s="45"/>
    </row>
    <row r="194" ht="22.5" customHeight="1">
      <c r="A194" s="32" t="s">
        <v>563</v>
      </c>
      <c r="B194" s="33" t="s">
        <v>564</v>
      </c>
      <c r="C194" s="35" t="s">
        <v>41</v>
      </c>
      <c r="D194" s="36">
        <v>7.1</v>
      </c>
      <c r="E194" s="37">
        <v>0.79</v>
      </c>
      <c r="F194" s="38">
        <v>7.05</v>
      </c>
      <c r="G194" s="39">
        <v>8.2</v>
      </c>
      <c r="H194" s="41">
        <v>6.5</v>
      </c>
      <c r="I194" s="41">
        <v>6.2</v>
      </c>
      <c r="J194" s="41">
        <v>6.0</v>
      </c>
      <c r="K194" s="41">
        <v>7.5</v>
      </c>
      <c r="L194" s="41">
        <v>7.9</v>
      </c>
      <c r="M194" s="43" t="s">
        <v>46</v>
      </c>
      <c r="N194" s="44">
        <v>45608.0</v>
      </c>
      <c r="O194" s="36" t="s">
        <v>30</v>
      </c>
      <c r="P194" s="36" t="s">
        <v>31</v>
      </c>
      <c r="Q194" s="45"/>
      <c r="R194" s="45"/>
    </row>
    <row r="195" ht="22.5" customHeight="1">
      <c r="A195" s="32" t="s">
        <v>565</v>
      </c>
      <c r="B195" s="33" t="s">
        <v>566</v>
      </c>
      <c r="C195" s="35" t="s">
        <v>567</v>
      </c>
      <c r="D195" s="36">
        <v>7.1</v>
      </c>
      <c r="E195" s="37">
        <v>0.81</v>
      </c>
      <c r="F195" s="38">
        <v>7.033333333333334</v>
      </c>
      <c r="G195" s="39">
        <v>6.8</v>
      </c>
      <c r="H195" s="36">
        <v>6.5</v>
      </c>
      <c r="I195" s="36">
        <v>8.8</v>
      </c>
      <c r="J195" s="36">
        <v>6.4</v>
      </c>
      <c r="K195" s="36">
        <v>7.0</v>
      </c>
      <c r="L195" s="36">
        <v>6.7</v>
      </c>
      <c r="M195" s="43" t="s">
        <v>490</v>
      </c>
      <c r="N195" s="44">
        <v>45707.0</v>
      </c>
      <c r="O195" s="36" t="s">
        <v>30</v>
      </c>
      <c r="P195" s="36" t="s">
        <v>31</v>
      </c>
      <c r="Q195" s="45"/>
      <c r="R195" s="45"/>
    </row>
    <row r="196" ht="22.5" customHeight="1">
      <c r="A196" s="32" t="s">
        <v>568</v>
      </c>
      <c r="B196" s="33" t="s">
        <v>569</v>
      </c>
      <c r="C196" s="35" t="s">
        <v>570</v>
      </c>
      <c r="D196" s="36">
        <v>6.1</v>
      </c>
      <c r="E196" s="37">
        <v>0.41</v>
      </c>
      <c r="F196" s="38">
        <v>7.033333333333334</v>
      </c>
      <c r="G196" s="39">
        <v>6.5</v>
      </c>
      <c r="H196" s="36">
        <v>8.3</v>
      </c>
      <c r="I196" s="36">
        <v>7.5</v>
      </c>
      <c r="J196" s="36">
        <v>7.5</v>
      </c>
      <c r="K196" s="36">
        <v>6.3</v>
      </c>
      <c r="L196" s="36">
        <v>6.1</v>
      </c>
      <c r="M196" s="43" t="s">
        <v>213</v>
      </c>
      <c r="N196" s="44">
        <v>45676.0</v>
      </c>
      <c r="O196" s="50" t="s">
        <v>30</v>
      </c>
      <c r="P196" s="36" t="s">
        <v>31</v>
      </c>
      <c r="Q196" s="45"/>
      <c r="R196" s="45"/>
    </row>
    <row r="197" ht="22.5" customHeight="1">
      <c r="A197" s="32" t="s">
        <v>571</v>
      </c>
      <c r="B197" s="33" t="s">
        <v>194</v>
      </c>
      <c r="C197" s="35" t="s">
        <v>28</v>
      </c>
      <c r="D197" s="36">
        <v>7.6</v>
      </c>
      <c r="E197" s="37">
        <v>0.91</v>
      </c>
      <c r="F197" s="38">
        <v>7.016666666666667</v>
      </c>
      <c r="G197" s="39">
        <v>6.8</v>
      </c>
      <c r="H197" s="41">
        <v>7.3</v>
      </c>
      <c r="I197" s="41">
        <v>5.5</v>
      </c>
      <c r="J197" s="41">
        <v>7.3</v>
      </c>
      <c r="K197" s="41">
        <v>7.2</v>
      </c>
      <c r="L197" s="41">
        <v>8.0</v>
      </c>
      <c r="M197" s="43" t="s">
        <v>46</v>
      </c>
      <c r="N197" s="44">
        <v>45874.0</v>
      </c>
      <c r="O197" s="36" t="s">
        <v>30</v>
      </c>
      <c r="P197" s="36" t="s">
        <v>31</v>
      </c>
      <c r="Q197" s="45"/>
      <c r="R197" s="45"/>
    </row>
    <row r="198" ht="22.5" customHeight="1">
      <c r="A198" s="32" t="s">
        <v>572</v>
      </c>
      <c r="B198" s="33" t="s">
        <v>573</v>
      </c>
      <c r="C198" s="35" t="s">
        <v>574</v>
      </c>
      <c r="D198" s="36">
        <v>7.0</v>
      </c>
      <c r="E198" s="37">
        <v>0.73</v>
      </c>
      <c r="F198" s="38">
        <v>7.016666666666666</v>
      </c>
      <c r="G198" s="39">
        <v>9.5</v>
      </c>
      <c r="H198" s="41">
        <v>8.7</v>
      </c>
      <c r="I198" s="41">
        <v>5.0</v>
      </c>
      <c r="J198" s="41">
        <v>7.7</v>
      </c>
      <c r="K198" s="41">
        <v>5.4</v>
      </c>
      <c r="L198" s="41">
        <v>5.8</v>
      </c>
      <c r="M198" s="43" t="s">
        <v>575</v>
      </c>
      <c r="N198" s="44">
        <v>46200.0</v>
      </c>
      <c r="O198" s="36"/>
      <c r="P198" s="36"/>
      <c r="Q198" s="45"/>
      <c r="R198" s="45"/>
    </row>
    <row r="199" ht="22.5" customHeight="1">
      <c r="A199" s="32" t="s">
        <v>576</v>
      </c>
      <c r="B199" s="33" t="s">
        <v>577</v>
      </c>
      <c r="C199" s="35" t="s">
        <v>578</v>
      </c>
      <c r="D199" s="36">
        <v>7.0</v>
      </c>
      <c r="E199" s="37">
        <v>0.68</v>
      </c>
      <c r="F199" s="38">
        <v>7.0</v>
      </c>
      <c r="G199" s="39">
        <v>5.8</v>
      </c>
      <c r="H199" s="41">
        <v>8.1</v>
      </c>
      <c r="I199" s="41">
        <v>6.5</v>
      </c>
      <c r="J199" s="41">
        <v>7.6</v>
      </c>
      <c r="K199" s="41">
        <v>6.2</v>
      </c>
      <c r="L199" s="41">
        <v>7.8</v>
      </c>
      <c r="M199" s="43" t="s">
        <v>350</v>
      </c>
      <c r="N199" s="44">
        <v>45933.0</v>
      </c>
      <c r="O199" s="36" t="s">
        <v>30</v>
      </c>
      <c r="P199" s="36" t="s">
        <v>31</v>
      </c>
      <c r="Q199" s="45"/>
      <c r="R199" s="45"/>
    </row>
    <row r="200" ht="22.5" customHeight="1">
      <c r="A200" s="32" t="s">
        <v>579</v>
      </c>
      <c r="B200" s="55" t="s">
        <v>580</v>
      </c>
      <c r="C200" s="56" t="s">
        <v>355</v>
      </c>
      <c r="D200" s="36">
        <v>6.5</v>
      </c>
      <c r="E200" s="37">
        <v>0.61</v>
      </c>
      <c r="F200" s="38">
        <v>7.0</v>
      </c>
      <c r="G200" s="39">
        <v>8.7</v>
      </c>
      <c r="H200" s="36">
        <v>6.4</v>
      </c>
      <c r="I200" s="36">
        <v>5.6</v>
      </c>
      <c r="J200" s="36">
        <v>6.0</v>
      </c>
      <c r="K200" s="36">
        <v>7.6</v>
      </c>
      <c r="L200" s="36">
        <v>7.7</v>
      </c>
      <c r="M200" s="57" t="s">
        <v>361</v>
      </c>
      <c r="N200" s="44">
        <v>45858.0</v>
      </c>
      <c r="O200" s="36" t="s">
        <v>30</v>
      </c>
      <c r="P200" s="36" t="s">
        <v>31</v>
      </c>
      <c r="Q200" s="45"/>
      <c r="R200" s="45"/>
    </row>
    <row r="201" ht="22.5" customHeight="1">
      <c r="A201" s="32" t="s">
        <v>581</v>
      </c>
      <c r="B201" s="33" t="s">
        <v>582</v>
      </c>
      <c r="C201" s="35" t="s">
        <v>279</v>
      </c>
      <c r="D201" s="36">
        <v>6.8</v>
      </c>
      <c r="E201" s="37">
        <v>0.63</v>
      </c>
      <c r="F201" s="38">
        <v>7.0</v>
      </c>
      <c r="G201" s="39">
        <v>7.6</v>
      </c>
      <c r="H201" s="41">
        <v>6.5</v>
      </c>
      <c r="I201" s="41">
        <v>8.5</v>
      </c>
      <c r="J201" s="41">
        <v>8.0</v>
      </c>
      <c r="K201" s="41">
        <v>5.3</v>
      </c>
      <c r="L201" s="41">
        <v>6.1</v>
      </c>
      <c r="M201" s="43" t="s">
        <v>61</v>
      </c>
      <c r="N201" s="44">
        <v>46221.0</v>
      </c>
      <c r="O201" s="36" t="s">
        <v>30</v>
      </c>
      <c r="P201" s="36" t="s">
        <v>31</v>
      </c>
      <c r="Q201" s="45"/>
      <c r="R201" s="45"/>
    </row>
    <row r="202" ht="22.5" customHeight="1">
      <c r="A202" s="32" t="s">
        <v>583</v>
      </c>
      <c r="B202" s="35" t="s">
        <v>584</v>
      </c>
      <c r="C202" s="35" t="s">
        <v>585</v>
      </c>
      <c r="D202" s="36">
        <v>7.5</v>
      </c>
      <c r="E202" s="37">
        <v>0.56</v>
      </c>
      <c r="F202" s="38">
        <v>7.0</v>
      </c>
      <c r="G202" s="39">
        <v>6.4</v>
      </c>
      <c r="H202" s="41">
        <v>6.0</v>
      </c>
      <c r="I202" s="41">
        <v>9.6</v>
      </c>
      <c r="J202" s="41">
        <v>7.3</v>
      </c>
      <c r="K202" s="41">
        <v>4.9</v>
      </c>
      <c r="L202" s="41">
        <v>7.8</v>
      </c>
      <c r="M202" s="43" t="s">
        <v>395</v>
      </c>
      <c r="N202" s="44">
        <v>46239.0</v>
      </c>
      <c r="O202" s="36" t="s">
        <v>30</v>
      </c>
      <c r="P202" s="36" t="s">
        <v>31</v>
      </c>
      <c r="Q202" s="45"/>
      <c r="R202" s="45"/>
    </row>
    <row r="203" ht="22.5" customHeight="1">
      <c r="A203" s="32" t="s">
        <v>586</v>
      </c>
      <c r="B203" s="33" t="s">
        <v>587</v>
      </c>
      <c r="C203" s="35" t="s">
        <v>91</v>
      </c>
      <c r="D203" s="36">
        <v>8.0</v>
      </c>
      <c r="E203" s="37"/>
      <c r="F203" s="38">
        <v>6.983333333333333</v>
      </c>
      <c r="G203" s="39">
        <v>8.2</v>
      </c>
      <c r="H203" s="36">
        <v>6.5</v>
      </c>
      <c r="I203" s="36">
        <v>8.0</v>
      </c>
      <c r="J203" s="36">
        <v>7.2</v>
      </c>
      <c r="K203" s="36">
        <v>6.5</v>
      </c>
      <c r="L203" s="36">
        <v>5.5</v>
      </c>
      <c r="M203" s="43" t="s">
        <v>213</v>
      </c>
      <c r="N203" s="44">
        <v>45646.0</v>
      </c>
      <c r="O203" s="50" t="s">
        <v>93</v>
      </c>
      <c r="P203" s="36" t="s">
        <v>31</v>
      </c>
      <c r="Q203" s="45"/>
      <c r="R203" s="45"/>
    </row>
    <row r="204" ht="22.5" customHeight="1">
      <c r="A204" s="32" t="s">
        <v>588</v>
      </c>
      <c r="B204" s="33" t="s">
        <v>589</v>
      </c>
      <c r="C204" s="35" t="s">
        <v>45</v>
      </c>
      <c r="D204" s="36">
        <v>6.1</v>
      </c>
      <c r="E204" s="37">
        <v>0.25</v>
      </c>
      <c r="F204" s="38">
        <v>6.983333333333333</v>
      </c>
      <c r="G204" s="39">
        <v>6.8</v>
      </c>
      <c r="H204" s="41">
        <v>7.3</v>
      </c>
      <c r="I204" s="41">
        <v>5.7</v>
      </c>
      <c r="J204" s="41">
        <v>6.6</v>
      </c>
      <c r="K204" s="41">
        <v>7.0</v>
      </c>
      <c r="L204" s="41">
        <v>8.5</v>
      </c>
      <c r="M204" s="43" t="s">
        <v>317</v>
      </c>
      <c r="N204" s="44">
        <v>46043.0</v>
      </c>
      <c r="O204" s="36" t="s">
        <v>30</v>
      </c>
      <c r="P204" s="36" t="s">
        <v>31</v>
      </c>
      <c r="Q204" s="45"/>
      <c r="R204" s="45"/>
    </row>
    <row r="205" ht="22.5" customHeight="1">
      <c r="A205" s="32" t="s">
        <v>590</v>
      </c>
      <c r="B205" s="33" t="s">
        <v>591</v>
      </c>
      <c r="C205" s="35" t="s">
        <v>166</v>
      </c>
      <c r="D205" s="36">
        <v>7.1</v>
      </c>
      <c r="E205" s="37">
        <v>0.8</v>
      </c>
      <c r="F205" s="38">
        <v>6.966666666666668</v>
      </c>
      <c r="G205" s="39">
        <v>6.4</v>
      </c>
      <c r="H205" s="41">
        <v>7.1</v>
      </c>
      <c r="I205" s="41">
        <v>7.1</v>
      </c>
      <c r="J205" s="41">
        <v>8.1</v>
      </c>
      <c r="K205" s="41">
        <v>6.5</v>
      </c>
      <c r="L205" s="41">
        <v>6.6</v>
      </c>
      <c r="M205" s="43" t="s">
        <v>213</v>
      </c>
      <c r="N205" s="44">
        <v>45670.0</v>
      </c>
      <c r="O205" s="36" t="s">
        <v>30</v>
      </c>
      <c r="P205" s="36" t="s">
        <v>31</v>
      </c>
      <c r="Q205" s="45"/>
      <c r="R205" s="45"/>
    </row>
    <row r="206" ht="22.5" customHeight="1">
      <c r="A206" s="32" t="s">
        <v>592</v>
      </c>
      <c r="B206" s="33" t="s">
        <v>593</v>
      </c>
      <c r="C206" s="35" t="s">
        <v>100</v>
      </c>
      <c r="D206" s="36">
        <v>6.9</v>
      </c>
      <c r="E206" s="37">
        <v>0.73</v>
      </c>
      <c r="F206" s="38">
        <v>6.95</v>
      </c>
      <c r="G206" s="39">
        <v>6.5</v>
      </c>
      <c r="H206" s="41">
        <v>7.1</v>
      </c>
      <c r="I206" s="41">
        <v>7.2</v>
      </c>
      <c r="J206" s="41">
        <v>8.6</v>
      </c>
      <c r="K206" s="41">
        <v>5.6</v>
      </c>
      <c r="L206" s="41">
        <v>6.7</v>
      </c>
      <c r="M206" s="43" t="s">
        <v>150</v>
      </c>
      <c r="N206" s="44">
        <v>45646.0</v>
      </c>
      <c r="O206" s="36" t="s">
        <v>30</v>
      </c>
      <c r="P206" s="36" t="s">
        <v>31</v>
      </c>
      <c r="Q206" s="45"/>
      <c r="R206" s="45"/>
    </row>
    <row r="207" ht="22.5" customHeight="1">
      <c r="A207" s="36" t="s">
        <v>594</v>
      </c>
      <c r="B207" s="33" t="s">
        <v>125</v>
      </c>
      <c r="C207" s="35" t="s">
        <v>91</v>
      </c>
      <c r="D207" s="36">
        <v>7.8</v>
      </c>
      <c r="E207" s="37">
        <v>0.92</v>
      </c>
      <c r="F207" s="38">
        <v>6.949999999999999</v>
      </c>
      <c r="G207" s="39">
        <v>7.7</v>
      </c>
      <c r="H207" s="36">
        <v>7.5</v>
      </c>
      <c r="I207" s="36">
        <v>7.1</v>
      </c>
      <c r="J207" s="36">
        <v>6.5</v>
      </c>
      <c r="K207" s="36">
        <v>6.5</v>
      </c>
      <c r="L207" s="36">
        <v>6.4</v>
      </c>
      <c r="M207" s="43" t="s">
        <v>126</v>
      </c>
      <c r="N207" s="44">
        <v>45646.0</v>
      </c>
      <c r="O207" s="50" t="s">
        <v>93</v>
      </c>
      <c r="P207" s="36" t="s">
        <v>31</v>
      </c>
      <c r="Q207" s="45"/>
      <c r="R207" s="45"/>
    </row>
    <row r="208" ht="22.5" customHeight="1">
      <c r="A208" s="32" t="s">
        <v>595</v>
      </c>
      <c r="B208" s="33" t="s">
        <v>596</v>
      </c>
      <c r="C208" s="35" t="s">
        <v>432</v>
      </c>
      <c r="D208" s="36">
        <v>7.7</v>
      </c>
      <c r="E208" s="37">
        <v>0.83</v>
      </c>
      <c r="F208" s="38">
        <v>6.949999999999999</v>
      </c>
      <c r="G208" s="39">
        <v>6.7</v>
      </c>
      <c r="H208" s="41">
        <v>6.5</v>
      </c>
      <c r="I208" s="41">
        <v>7.3</v>
      </c>
      <c r="J208" s="41">
        <v>6.8</v>
      </c>
      <c r="K208" s="41">
        <v>7.5</v>
      </c>
      <c r="L208" s="41">
        <v>6.9</v>
      </c>
      <c r="M208" s="43" t="s">
        <v>228</v>
      </c>
      <c r="N208" s="44">
        <v>45670.0</v>
      </c>
      <c r="O208" s="36" t="s">
        <v>30</v>
      </c>
      <c r="P208" s="36" t="s">
        <v>31</v>
      </c>
      <c r="Q208" s="45"/>
      <c r="R208" s="45"/>
    </row>
    <row r="209" ht="22.5" customHeight="1">
      <c r="A209" s="32" t="s">
        <v>597</v>
      </c>
      <c r="B209" s="33" t="s">
        <v>598</v>
      </c>
      <c r="C209" s="35" t="s">
        <v>41</v>
      </c>
      <c r="D209" s="36">
        <v>6.0</v>
      </c>
      <c r="E209" s="37">
        <v>0.19</v>
      </c>
      <c r="F209" s="38">
        <v>6.9333333333333345</v>
      </c>
      <c r="G209" s="39">
        <v>8.2</v>
      </c>
      <c r="H209" s="41">
        <v>7.4</v>
      </c>
      <c r="I209" s="41">
        <v>5.5</v>
      </c>
      <c r="J209" s="41">
        <v>9.3</v>
      </c>
      <c r="K209" s="41">
        <v>5.0</v>
      </c>
      <c r="L209" s="41">
        <v>6.2</v>
      </c>
      <c r="M209" s="43" t="s">
        <v>110</v>
      </c>
      <c r="N209" s="44">
        <v>46078.0</v>
      </c>
      <c r="O209" s="36" t="s">
        <v>30</v>
      </c>
      <c r="P209" s="36" t="s">
        <v>31</v>
      </c>
      <c r="Q209" s="45"/>
      <c r="R209" s="45"/>
    </row>
    <row r="210" ht="22.5" customHeight="1">
      <c r="A210" s="32" t="s">
        <v>599</v>
      </c>
      <c r="B210" s="33" t="s">
        <v>600</v>
      </c>
      <c r="C210" s="35" t="s">
        <v>453</v>
      </c>
      <c r="D210" s="36">
        <v>6.9</v>
      </c>
      <c r="E210" s="37">
        <v>0.91</v>
      </c>
      <c r="F210" s="38">
        <v>6.900000000000001</v>
      </c>
      <c r="G210" s="39">
        <v>6.7</v>
      </c>
      <c r="H210" s="36">
        <v>7.5</v>
      </c>
      <c r="I210" s="36">
        <v>5.5</v>
      </c>
      <c r="J210" s="36">
        <v>7.5</v>
      </c>
      <c r="K210" s="36">
        <v>7.0</v>
      </c>
      <c r="L210" s="36">
        <v>7.2</v>
      </c>
      <c r="M210" s="43" t="s">
        <v>241</v>
      </c>
      <c r="N210" s="44">
        <v>45646.0</v>
      </c>
      <c r="O210" s="50" t="s">
        <v>30</v>
      </c>
      <c r="P210" s="36" t="s">
        <v>31</v>
      </c>
      <c r="Q210" s="45"/>
      <c r="R210" s="45"/>
    </row>
    <row r="211" ht="22.5" customHeight="1">
      <c r="A211" s="32" t="s">
        <v>601</v>
      </c>
      <c r="B211" s="33" t="s">
        <v>271</v>
      </c>
      <c r="C211" s="35" t="s">
        <v>100</v>
      </c>
      <c r="D211" s="36">
        <v>6.2</v>
      </c>
      <c r="E211" s="37">
        <v>0.47</v>
      </c>
      <c r="F211" s="38">
        <v>6.900000000000001</v>
      </c>
      <c r="G211" s="39">
        <v>6.5</v>
      </c>
      <c r="H211" s="36">
        <v>8.3</v>
      </c>
      <c r="I211" s="36">
        <v>6.3</v>
      </c>
      <c r="J211" s="36">
        <v>8.1</v>
      </c>
      <c r="K211" s="36">
        <v>7.1</v>
      </c>
      <c r="L211" s="36">
        <v>5.1</v>
      </c>
      <c r="M211" s="43" t="s">
        <v>77</v>
      </c>
      <c r="N211" s="44">
        <v>45628.0</v>
      </c>
      <c r="O211" s="36" t="s">
        <v>30</v>
      </c>
      <c r="P211" s="36" t="s">
        <v>31</v>
      </c>
      <c r="Q211" s="45"/>
      <c r="R211" s="45"/>
    </row>
    <row r="212" ht="22.5" customHeight="1">
      <c r="A212" s="36" t="s">
        <v>602</v>
      </c>
      <c r="B212" s="33" t="s">
        <v>603</v>
      </c>
      <c r="C212" s="35" t="s">
        <v>604</v>
      </c>
      <c r="D212" s="36">
        <v>6.8</v>
      </c>
      <c r="E212" s="37">
        <v>0.48</v>
      </c>
      <c r="F212" s="38">
        <v>6.866666666666667</v>
      </c>
      <c r="G212" s="39">
        <v>8.6</v>
      </c>
      <c r="H212" s="41">
        <v>7.4</v>
      </c>
      <c r="I212" s="41">
        <v>5.5</v>
      </c>
      <c r="J212" s="41">
        <v>4.8</v>
      </c>
      <c r="K212" s="41">
        <v>7.4</v>
      </c>
      <c r="L212" s="41">
        <v>7.5</v>
      </c>
      <c r="M212" s="43" t="s">
        <v>454</v>
      </c>
      <c r="N212" s="44">
        <v>45955.0</v>
      </c>
      <c r="O212" s="50" t="s">
        <v>30</v>
      </c>
      <c r="P212" s="36" t="s">
        <v>31</v>
      </c>
      <c r="Q212" s="45"/>
      <c r="R212" s="45"/>
    </row>
    <row r="213" ht="22.5" customHeight="1">
      <c r="A213" s="32" t="s">
        <v>605</v>
      </c>
      <c r="B213" s="33" t="s">
        <v>606</v>
      </c>
      <c r="C213" s="35" t="s">
        <v>178</v>
      </c>
      <c r="D213" s="36">
        <v>7.8</v>
      </c>
      <c r="E213" s="37">
        <v>0.89</v>
      </c>
      <c r="F213" s="38">
        <v>6.8500000000000005</v>
      </c>
      <c r="G213" s="39">
        <v>7.5</v>
      </c>
      <c r="H213" s="41">
        <v>8.0</v>
      </c>
      <c r="I213" s="41">
        <v>5.3</v>
      </c>
      <c r="J213" s="41">
        <v>5.9</v>
      </c>
      <c r="K213" s="41">
        <v>7.1</v>
      </c>
      <c r="L213" s="41">
        <v>7.3</v>
      </c>
      <c r="M213" s="43" t="s">
        <v>46</v>
      </c>
      <c r="N213" s="44">
        <v>45999.0</v>
      </c>
      <c r="O213" s="36" t="s">
        <v>30</v>
      </c>
      <c r="P213" s="36" t="s">
        <v>31</v>
      </c>
      <c r="Q213" s="45"/>
      <c r="R213" s="45"/>
    </row>
    <row r="214" ht="22.5" customHeight="1">
      <c r="A214" s="32" t="s">
        <v>607</v>
      </c>
      <c r="B214" s="33" t="s">
        <v>608</v>
      </c>
      <c r="C214" s="35" t="s">
        <v>41</v>
      </c>
      <c r="D214" s="36">
        <v>7.4</v>
      </c>
      <c r="E214" s="37">
        <v>0.71</v>
      </c>
      <c r="F214" s="38">
        <v>6.8500000000000005</v>
      </c>
      <c r="G214" s="39">
        <v>6.3</v>
      </c>
      <c r="H214" s="41">
        <v>5.6</v>
      </c>
      <c r="I214" s="41">
        <v>6.4</v>
      </c>
      <c r="J214" s="41">
        <v>8.7</v>
      </c>
      <c r="K214" s="41">
        <v>7.5</v>
      </c>
      <c r="L214" s="41">
        <v>6.6</v>
      </c>
      <c r="M214" s="43" t="s">
        <v>186</v>
      </c>
      <c r="N214" s="44">
        <v>45874.0</v>
      </c>
      <c r="O214" s="36" t="s">
        <v>30</v>
      </c>
      <c r="P214" s="36" t="s">
        <v>31</v>
      </c>
      <c r="Q214" s="45"/>
      <c r="R214" s="45"/>
    </row>
    <row r="215" ht="22.5" customHeight="1">
      <c r="A215" s="32" t="s">
        <v>609</v>
      </c>
      <c r="B215" s="33" t="s">
        <v>610</v>
      </c>
      <c r="C215" s="35" t="s">
        <v>293</v>
      </c>
      <c r="D215" s="36">
        <v>6.9</v>
      </c>
      <c r="E215" s="37">
        <v>0.85</v>
      </c>
      <c r="F215" s="38">
        <v>6.833333333333333</v>
      </c>
      <c r="G215" s="39">
        <v>7.6</v>
      </c>
      <c r="H215" s="41">
        <v>6.4</v>
      </c>
      <c r="I215" s="41">
        <v>5.4</v>
      </c>
      <c r="J215" s="41">
        <v>7.5</v>
      </c>
      <c r="K215" s="41">
        <v>7.4</v>
      </c>
      <c r="L215" s="41">
        <v>6.7</v>
      </c>
      <c r="M215" s="43" t="s">
        <v>611</v>
      </c>
      <c r="N215" s="44">
        <v>45717.0</v>
      </c>
      <c r="O215" s="36" t="s">
        <v>93</v>
      </c>
      <c r="P215" s="36" t="s">
        <v>31</v>
      </c>
      <c r="Q215" s="45"/>
      <c r="R215" s="45"/>
    </row>
    <row r="216" ht="22.5" customHeight="1">
      <c r="A216" s="32" t="s">
        <v>612</v>
      </c>
      <c r="B216" s="33" t="s">
        <v>613</v>
      </c>
      <c r="C216" s="35" t="s">
        <v>41</v>
      </c>
      <c r="D216" s="36">
        <v>6.3</v>
      </c>
      <c r="E216" s="37">
        <v>0.63</v>
      </c>
      <c r="F216" s="38">
        <v>6.816666666666667</v>
      </c>
      <c r="G216" s="39">
        <v>6.7</v>
      </c>
      <c r="H216" s="41">
        <v>7.8</v>
      </c>
      <c r="I216" s="41">
        <v>6.8</v>
      </c>
      <c r="J216" s="36">
        <v>6.9</v>
      </c>
      <c r="K216" s="36">
        <v>5.6</v>
      </c>
      <c r="L216" s="41">
        <v>7.1</v>
      </c>
      <c r="M216" s="43" t="s">
        <v>169</v>
      </c>
      <c r="N216" s="44">
        <v>46089.0</v>
      </c>
      <c r="O216" s="36"/>
      <c r="P216" s="36"/>
      <c r="Q216" s="45"/>
      <c r="R216" s="45"/>
    </row>
    <row r="217" ht="22.5" customHeight="1">
      <c r="A217" s="32" t="s">
        <v>614</v>
      </c>
      <c r="B217" s="33" t="s">
        <v>615</v>
      </c>
      <c r="C217" s="35" t="s">
        <v>96</v>
      </c>
      <c r="D217" s="36">
        <v>7.9</v>
      </c>
      <c r="E217" s="37">
        <v>0.85</v>
      </c>
      <c r="F217" s="38">
        <v>6.816666666666666</v>
      </c>
      <c r="G217" s="39">
        <v>7.2</v>
      </c>
      <c r="H217" s="41">
        <v>6.7</v>
      </c>
      <c r="I217" s="41">
        <v>5.6</v>
      </c>
      <c r="J217" s="41">
        <v>6.1</v>
      </c>
      <c r="K217" s="41">
        <v>7.4</v>
      </c>
      <c r="L217" s="41">
        <v>7.9</v>
      </c>
      <c r="M217" s="43" t="s">
        <v>67</v>
      </c>
      <c r="N217" s="44">
        <v>45874.0</v>
      </c>
      <c r="O217" s="50" t="s">
        <v>30</v>
      </c>
      <c r="P217" s="36" t="s">
        <v>31</v>
      </c>
      <c r="Q217" s="45"/>
      <c r="R217" s="45"/>
    </row>
    <row r="218" ht="22.5" customHeight="1">
      <c r="A218" s="32" t="s">
        <v>616</v>
      </c>
      <c r="B218" s="33" t="s">
        <v>617</v>
      </c>
      <c r="C218" s="35" t="s">
        <v>462</v>
      </c>
      <c r="D218" s="36">
        <v>6.9</v>
      </c>
      <c r="E218" s="37">
        <v>0.73</v>
      </c>
      <c r="F218" s="38">
        <v>6.816666666666666</v>
      </c>
      <c r="G218" s="39">
        <v>5.6</v>
      </c>
      <c r="H218" s="41">
        <v>7.1</v>
      </c>
      <c r="I218" s="41">
        <v>7.8</v>
      </c>
      <c r="J218" s="41">
        <v>8.3</v>
      </c>
      <c r="K218" s="41">
        <v>5.5</v>
      </c>
      <c r="L218" s="41">
        <v>6.6</v>
      </c>
      <c r="M218" s="43" t="s">
        <v>334</v>
      </c>
      <c r="N218" s="44">
        <v>45849.0</v>
      </c>
      <c r="O218" s="50" t="s">
        <v>30</v>
      </c>
      <c r="P218" s="36" t="s">
        <v>31</v>
      </c>
      <c r="Q218" s="45"/>
      <c r="R218" s="45"/>
    </row>
    <row r="219" ht="22.5" customHeight="1">
      <c r="A219" s="36" t="s">
        <v>618</v>
      </c>
      <c r="B219" s="33" t="s">
        <v>458</v>
      </c>
      <c r="C219" s="35" t="s">
        <v>41</v>
      </c>
      <c r="D219" s="36">
        <v>6.2</v>
      </c>
      <c r="E219" s="37">
        <v>0.29</v>
      </c>
      <c r="F219" s="38">
        <v>6.816666666666666</v>
      </c>
      <c r="G219" s="39">
        <v>7.6</v>
      </c>
      <c r="H219" s="36">
        <v>7.3</v>
      </c>
      <c r="I219" s="36">
        <v>5.5</v>
      </c>
      <c r="J219" s="36">
        <v>6.7</v>
      </c>
      <c r="K219" s="36">
        <v>7.3</v>
      </c>
      <c r="L219" s="36">
        <v>6.5</v>
      </c>
      <c r="M219" s="43" t="s">
        <v>54</v>
      </c>
      <c r="N219" s="44">
        <v>45646.0</v>
      </c>
      <c r="O219" s="50" t="s">
        <v>30</v>
      </c>
      <c r="P219" s="36" t="s">
        <v>31</v>
      </c>
      <c r="Q219" s="45"/>
      <c r="R219" s="45"/>
    </row>
    <row r="220" ht="22.5" customHeight="1">
      <c r="A220" s="32" t="s">
        <v>619</v>
      </c>
      <c r="B220" s="33" t="s">
        <v>620</v>
      </c>
      <c r="C220" s="35" t="s">
        <v>41</v>
      </c>
      <c r="D220" s="36">
        <v>7.5</v>
      </c>
      <c r="E220" s="37">
        <v>0.93</v>
      </c>
      <c r="F220" s="38">
        <v>6.783333333333334</v>
      </c>
      <c r="G220" s="39">
        <v>6.5</v>
      </c>
      <c r="H220" s="41">
        <v>6.8</v>
      </c>
      <c r="I220" s="41">
        <v>6.5</v>
      </c>
      <c r="J220" s="41">
        <v>6.7</v>
      </c>
      <c r="K220" s="41">
        <v>7.0</v>
      </c>
      <c r="L220" s="41">
        <v>7.2</v>
      </c>
      <c r="M220" s="43" t="s">
        <v>50</v>
      </c>
      <c r="N220" s="44">
        <v>46088.0</v>
      </c>
      <c r="O220" s="36"/>
      <c r="P220" s="36"/>
      <c r="Q220" s="45"/>
      <c r="R220" s="45"/>
    </row>
    <row r="221" ht="22.5" customHeight="1">
      <c r="A221" s="32" t="s">
        <v>621</v>
      </c>
      <c r="B221" s="33" t="s">
        <v>622</v>
      </c>
      <c r="C221" s="35" t="s">
        <v>197</v>
      </c>
      <c r="D221" s="36">
        <v>5.3</v>
      </c>
      <c r="E221" s="37">
        <v>0.33</v>
      </c>
      <c r="F221" s="38">
        <v>6.733333333333333</v>
      </c>
      <c r="G221" s="39">
        <v>6.6</v>
      </c>
      <c r="H221" s="41">
        <v>7.8</v>
      </c>
      <c r="I221" s="41">
        <v>4.5</v>
      </c>
      <c r="J221" s="41">
        <v>5.1</v>
      </c>
      <c r="K221" s="41">
        <v>7.7</v>
      </c>
      <c r="L221" s="41">
        <v>8.7</v>
      </c>
      <c r="M221" s="43" t="s">
        <v>623</v>
      </c>
      <c r="N221" s="44">
        <v>45655.0</v>
      </c>
      <c r="O221" s="36" t="s">
        <v>30</v>
      </c>
      <c r="P221" s="36" t="s">
        <v>31</v>
      </c>
      <c r="Q221" s="45"/>
      <c r="R221" s="45"/>
    </row>
    <row r="222" ht="22.5" customHeight="1">
      <c r="A222" s="32" t="s">
        <v>624</v>
      </c>
      <c r="B222" s="33" t="s">
        <v>625</v>
      </c>
      <c r="C222" s="35" t="s">
        <v>626</v>
      </c>
      <c r="D222" s="36">
        <v>7.5</v>
      </c>
      <c r="E222" s="37"/>
      <c r="F222" s="38">
        <v>6.733333333333333</v>
      </c>
      <c r="G222" s="39">
        <v>7.6</v>
      </c>
      <c r="H222" s="36">
        <v>5.9</v>
      </c>
      <c r="I222" s="36">
        <v>8.3</v>
      </c>
      <c r="J222" s="36">
        <v>6.3</v>
      </c>
      <c r="K222" s="36">
        <v>6.8</v>
      </c>
      <c r="L222" s="36">
        <v>5.5</v>
      </c>
      <c r="M222" s="43" t="s">
        <v>627</v>
      </c>
      <c r="N222" s="44">
        <v>46194.0</v>
      </c>
      <c r="O222" s="50"/>
      <c r="P222" s="36"/>
      <c r="Q222" s="45"/>
      <c r="R222" s="45"/>
    </row>
    <row r="223" ht="22.5" customHeight="1">
      <c r="A223" s="32" t="s">
        <v>628</v>
      </c>
      <c r="B223" s="33" t="s">
        <v>629</v>
      </c>
      <c r="C223" s="35" t="s">
        <v>630</v>
      </c>
      <c r="D223" s="36">
        <v>6.7</v>
      </c>
      <c r="E223" s="37">
        <v>0.92</v>
      </c>
      <c r="F223" s="38">
        <v>6.716666666666666</v>
      </c>
      <c r="G223" s="39">
        <v>6.9</v>
      </c>
      <c r="H223" s="41">
        <v>7.4</v>
      </c>
      <c r="I223" s="41">
        <v>5.7</v>
      </c>
      <c r="J223" s="41">
        <v>6.7</v>
      </c>
      <c r="K223" s="41">
        <v>7.2</v>
      </c>
      <c r="L223" s="41">
        <v>6.4</v>
      </c>
      <c r="M223" s="43" t="s">
        <v>409</v>
      </c>
      <c r="N223" s="44">
        <v>46159.0</v>
      </c>
      <c r="O223" s="36" t="s">
        <v>30</v>
      </c>
      <c r="P223" s="36" t="s">
        <v>31</v>
      </c>
      <c r="Q223" s="45"/>
      <c r="R223" s="45"/>
    </row>
    <row r="224" ht="22.5" customHeight="1">
      <c r="A224" s="32" t="s">
        <v>631</v>
      </c>
      <c r="B224" s="33" t="s">
        <v>632</v>
      </c>
      <c r="C224" s="35" t="s">
        <v>293</v>
      </c>
      <c r="D224" s="36">
        <v>6.2</v>
      </c>
      <c r="E224" s="37">
        <v>0.4</v>
      </c>
      <c r="F224" s="38">
        <v>6.7</v>
      </c>
      <c r="G224" s="39">
        <v>6.5</v>
      </c>
      <c r="H224" s="41">
        <v>6.1</v>
      </c>
      <c r="I224" s="41">
        <v>6.5</v>
      </c>
      <c r="J224" s="41">
        <v>7.6</v>
      </c>
      <c r="K224" s="41">
        <v>6.5</v>
      </c>
      <c r="L224" s="41">
        <v>7.0</v>
      </c>
      <c r="M224" s="43" t="s">
        <v>58</v>
      </c>
      <c r="N224" s="44">
        <v>45646.0</v>
      </c>
      <c r="O224" s="36" t="s">
        <v>93</v>
      </c>
      <c r="P224" s="36" t="s">
        <v>31</v>
      </c>
      <c r="Q224" s="45"/>
      <c r="R224" s="45"/>
    </row>
    <row r="225" ht="22.5" customHeight="1">
      <c r="A225" s="32" t="s">
        <v>633</v>
      </c>
      <c r="B225" s="33" t="s">
        <v>634</v>
      </c>
      <c r="C225" s="35" t="s">
        <v>453</v>
      </c>
      <c r="D225" s="36">
        <v>6.3</v>
      </c>
      <c r="E225" s="37">
        <v>0.42</v>
      </c>
      <c r="F225" s="38">
        <v>6.699999999999999</v>
      </c>
      <c r="G225" s="39">
        <v>7.3</v>
      </c>
      <c r="H225" s="41">
        <v>6.3</v>
      </c>
      <c r="I225" s="41">
        <v>6.1</v>
      </c>
      <c r="J225" s="41">
        <v>6.7</v>
      </c>
      <c r="K225" s="41">
        <v>7.3</v>
      </c>
      <c r="L225" s="41">
        <v>6.5</v>
      </c>
      <c r="M225" s="43" t="s">
        <v>235</v>
      </c>
      <c r="N225" s="44">
        <v>46099.0</v>
      </c>
      <c r="O225" s="36" t="s">
        <v>30</v>
      </c>
      <c r="P225" s="36" t="s">
        <v>31</v>
      </c>
      <c r="Q225" s="45"/>
      <c r="R225" s="45"/>
    </row>
    <row r="226" ht="22.5" customHeight="1">
      <c r="A226" s="32" t="s">
        <v>635</v>
      </c>
      <c r="B226" s="33" t="s">
        <v>636</v>
      </c>
      <c r="C226" s="35" t="s">
        <v>80</v>
      </c>
      <c r="D226" s="36">
        <v>6.8</v>
      </c>
      <c r="E226" s="37">
        <v>0.32</v>
      </c>
      <c r="F226" s="38">
        <v>6.6499999999999995</v>
      </c>
      <c r="G226" s="39">
        <v>6.3</v>
      </c>
      <c r="H226" s="41">
        <v>5.7</v>
      </c>
      <c r="I226" s="41">
        <v>5.8</v>
      </c>
      <c r="J226" s="41">
        <v>8.6</v>
      </c>
      <c r="K226" s="41">
        <v>6.5</v>
      </c>
      <c r="L226" s="41">
        <v>7.0</v>
      </c>
      <c r="M226" s="43" t="s">
        <v>241</v>
      </c>
      <c r="N226" s="44">
        <v>46161.0</v>
      </c>
      <c r="O226" s="36" t="s">
        <v>30</v>
      </c>
      <c r="P226" s="36" t="s">
        <v>31</v>
      </c>
      <c r="Q226" s="45"/>
      <c r="R226" s="45"/>
    </row>
    <row r="227" ht="22.5" customHeight="1">
      <c r="A227" s="32" t="s">
        <v>637</v>
      </c>
      <c r="B227" s="33" t="s">
        <v>638</v>
      </c>
      <c r="C227" s="35" t="s">
        <v>41</v>
      </c>
      <c r="D227" s="36">
        <v>7.0</v>
      </c>
      <c r="E227" s="37"/>
      <c r="F227" s="38">
        <v>6.633333333333334</v>
      </c>
      <c r="G227" s="39">
        <v>6.7</v>
      </c>
      <c r="H227" s="41">
        <v>7.3</v>
      </c>
      <c r="I227" s="41">
        <v>6.3</v>
      </c>
      <c r="J227" s="41">
        <v>7.8</v>
      </c>
      <c r="K227" s="41">
        <v>5.6</v>
      </c>
      <c r="L227" s="41">
        <v>6.1</v>
      </c>
      <c r="M227" s="43" t="s">
        <v>123</v>
      </c>
      <c r="N227" s="44">
        <v>46013.0</v>
      </c>
      <c r="O227" s="36" t="s">
        <v>30</v>
      </c>
      <c r="P227" s="36" t="s">
        <v>31</v>
      </c>
      <c r="Q227" s="45"/>
      <c r="R227" s="45"/>
    </row>
    <row r="228" ht="22.5" customHeight="1">
      <c r="A228" s="32" t="s">
        <v>639</v>
      </c>
      <c r="B228" s="33" t="s">
        <v>640</v>
      </c>
      <c r="C228" s="35" t="s">
        <v>91</v>
      </c>
      <c r="D228" s="36">
        <v>7.7</v>
      </c>
      <c r="E228" s="37">
        <v>0.96</v>
      </c>
      <c r="F228" s="38">
        <v>6.633333333333333</v>
      </c>
      <c r="G228" s="39">
        <v>6.5</v>
      </c>
      <c r="H228" s="41">
        <v>6.5</v>
      </c>
      <c r="I228" s="41">
        <v>6.5</v>
      </c>
      <c r="J228" s="41">
        <v>6.5</v>
      </c>
      <c r="K228" s="41">
        <v>6.8</v>
      </c>
      <c r="L228" s="41">
        <v>7.0</v>
      </c>
      <c r="M228" s="43" t="s">
        <v>350</v>
      </c>
      <c r="N228" s="44">
        <v>45646.0</v>
      </c>
      <c r="O228" s="36" t="s">
        <v>93</v>
      </c>
      <c r="P228" s="36" t="s">
        <v>31</v>
      </c>
      <c r="Q228" s="45"/>
      <c r="R228" s="45"/>
    </row>
    <row r="229" ht="22.5" customHeight="1">
      <c r="A229" s="32" t="s">
        <v>641</v>
      </c>
      <c r="B229" s="33" t="s">
        <v>642</v>
      </c>
      <c r="C229" s="35" t="s">
        <v>100</v>
      </c>
      <c r="D229" s="36">
        <v>5.7</v>
      </c>
      <c r="E229" s="37">
        <v>0.11</v>
      </c>
      <c r="F229" s="38">
        <v>6.616666666666667</v>
      </c>
      <c r="G229" s="39">
        <v>7.6</v>
      </c>
      <c r="H229" s="41">
        <v>7.9</v>
      </c>
      <c r="I229" s="41">
        <v>5.5</v>
      </c>
      <c r="J229" s="41">
        <v>5.8</v>
      </c>
      <c r="K229" s="41">
        <v>7.2</v>
      </c>
      <c r="L229" s="41">
        <v>5.7</v>
      </c>
      <c r="M229" s="43" t="s">
        <v>241</v>
      </c>
      <c r="N229" s="44">
        <v>45646.0</v>
      </c>
      <c r="O229" s="36" t="s">
        <v>30</v>
      </c>
      <c r="P229" s="36" t="s">
        <v>31</v>
      </c>
      <c r="Q229" s="45"/>
      <c r="R229" s="45"/>
    </row>
    <row r="230" ht="22.5" customHeight="1">
      <c r="A230" s="36" t="s">
        <v>643</v>
      </c>
      <c r="B230" s="33" t="s">
        <v>644</v>
      </c>
      <c r="C230" s="35" t="s">
        <v>630</v>
      </c>
      <c r="D230" s="36">
        <v>5.9</v>
      </c>
      <c r="E230" s="37">
        <v>0.44</v>
      </c>
      <c r="F230" s="38">
        <v>6.616666666666667</v>
      </c>
      <c r="G230" s="39">
        <v>7.2</v>
      </c>
      <c r="H230" s="41">
        <v>7.3</v>
      </c>
      <c r="I230" s="41">
        <v>5.7</v>
      </c>
      <c r="J230" s="41">
        <v>6.3</v>
      </c>
      <c r="K230" s="41">
        <v>6.7</v>
      </c>
      <c r="L230" s="41">
        <v>6.5</v>
      </c>
      <c r="M230" s="43" t="s">
        <v>645</v>
      </c>
      <c r="N230" s="44">
        <v>46158.0</v>
      </c>
      <c r="O230" s="50" t="s">
        <v>30</v>
      </c>
      <c r="P230" s="36" t="s">
        <v>31</v>
      </c>
      <c r="Q230" s="45"/>
      <c r="R230" s="45"/>
    </row>
    <row r="231" ht="22.5" customHeight="1">
      <c r="A231" s="32" t="s">
        <v>646</v>
      </c>
      <c r="B231" s="33" t="s">
        <v>647</v>
      </c>
      <c r="C231" s="35" t="s">
        <v>570</v>
      </c>
      <c r="D231" s="36">
        <v>6.7</v>
      </c>
      <c r="E231" s="37">
        <v>0.77</v>
      </c>
      <c r="F231" s="38">
        <v>6.616666666666666</v>
      </c>
      <c r="G231" s="39">
        <v>7.5</v>
      </c>
      <c r="H231" s="41">
        <v>6.7</v>
      </c>
      <c r="I231" s="41">
        <v>5.5</v>
      </c>
      <c r="J231" s="41">
        <v>7.6</v>
      </c>
      <c r="K231" s="41">
        <v>6.3</v>
      </c>
      <c r="L231" s="41">
        <v>6.1</v>
      </c>
      <c r="M231" s="43" t="s">
        <v>42</v>
      </c>
      <c r="N231" s="44">
        <v>45874.0</v>
      </c>
      <c r="O231" s="36" t="s">
        <v>30</v>
      </c>
      <c r="P231" s="36" t="s">
        <v>31</v>
      </c>
      <c r="Q231" s="45"/>
      <c r="R231" s="45"/>
    </row>
    <row r="232" ht="22.5" customHeight="1">
      <c r="A232" s="32" t="s">
        <v>648</v>
      </c>
      <c r="B232" s="33" t="s">
        <v>649</v>
      </c>
      <c r="C232" s="35" t="s">
        <v>630</v>
      </c>
      <c r="D232" s="36">
        <v>6.2</v>
      </c>
      <c r="E232" s="37">
        <v>0.52</v>
      </c>
      <c r="F232" s="38">
        <v>6.6000000000000005</v>
      </c>
      <c r="G232" s="39">
        <v>7.3</v>
      </c>
      <c r="H232" s="41">
        <v>7.2</v>
      </c>
      <c r="I232" s="41">
        <v>6.0</v>
      </c>
      <c r="J232" s="41">
        <v>5.8</v>
      </c>
      <c r="K232" s="41">
        <v>6.7</v>
      </c>
      <c r="L232" s="41">
        <v>6.6</v>
      </c>
      <c r="M232" s="43" t="s">
        <v>611</v>
      </c>
      <c r="N232" s="44">
        <v>46156.0</v>
      </c>
      <c r="O232" s="36" t="s">
        <v>30</v>
      </c>
      <c r="P232" s="36" t="s">
        <v>31</v>
      </c>
      <c r="Q232" s="45"/>
      <c r="R232" s="45"/>
    </row>
    <row r="233" ht="22.5" customHeight="1">
      <c r="A233" s="32" t="s">
        <v>650</v>
      </c>
      <c r="B233" s="33" t="s">
        <v>651</v>
      </c>
      <c r="C233" s="35" t="s">
        <v>41</v>
      </c>
      <c r="D233" s="36">
        <v>6.1</v>
      </c>
      <c r="E233" s="37">
        <v>0.51</v>
      </c>
      <c r="F233" s="38">
        <v>6.583333333333333</v>
      </c>
      <c r="G233" s="39">
        <v>5.5</v>
      </c>
      <c r="H233" s="41">
        <v>6.0</v>
      </c>
      <c r="I233" s="41">
        <v>6.1</v>
      </c>
      <c r="J233" s="41">
        <v>8.5</v>
      </c>
      <c r="K233" s="41">
        <v>6.9</v>
      </c>
      <c r="L233" s="41">
        <v>6.5</v>
      </c>
      <c r="M233" s="43" t="s">
        <v>175</v>
      </c>
      <c r="N233" s="44">
        <v>45865.0</v>
      </c>
      <c r="O233" s="36" t="s">
        <v>30</v>
      </c>
      <c r="P233" s="36" t="s">
        <v>31</v>
      </c>
      <c r="Q233" s="45"/>
      <c r="R233" s="45"/>
    </row>
    <row r="234" ht="22.5" customHeight="1">
      <c r="A234" s="32" t="s">
        <v>652</v>
      </c>
      <c r="B234" s="33" t="s">
        <v>653</v>
      </c>
      <c r="C234" s="35" t="s">
        <v>91</v>
      </c>
      <c r="D234" s="36">
        <v>6.6</v>
      </c>
      <c r="E234" s="37">
        <v>0.72</v>
      </c>
      <c r="F234" s="38">
        <v>6.533333333333334</v>
      </c>
      <c r="G234" s="39">
        <v>7.4</v>
      </c>
      <c r="H234" s="41">
        <v>6.5</v>
      </c>
      <c r="I234" s="41">
        <v>5.1</v>
      </c>
      <c r="J234" s="41">
        <v>5.5</v>
      </c>
      <c r="K234" s="41">
        <v>7.5</v>
      </c>
      <c r="L234" s="41">
        <v>7.2</v>
      </c>
      <c r="M234" s="43" t="s">
        <v>264</v>
      </c>
      <c r="N234" s="44">
        <v>45646.0</v>
      </c>
      <c r="O234" s="36" t="s">
        <v>93</v>
      </c>
      <c r="P234" s="36" t="s">
        <v>31</v>
      </c>
      <c r="Q234" s="45"/>
      <c r="R234" s="45"/>
    </row>
    <row r="235" ht="22.5" customHeight="1">
      <c r="A235" s="32" t="s">
        <v>654</v>
      </c>
      <c r="B235" s="33" t="s">
        <v>655</v>
      </c>
      <c r="C235" s="35" t="s">
        <v>41</v>
      </c>
      <c r="D235" s="36">
        <v>7.1</v>
      </c>
      <c r="E235" s="37">
        <v>0.83</v>
      </c>
      <c r="F235" s="38">
        <v>6.5</v>
      </c>
      <c r="G235" s="39">
        <v>7.5</v>
      </c>
      <c r="H235" s="41">
        <v>7.4</v>
      </c>
      <c r="I235" s="41">
        <v>5.7</v>
      </c>
      <c r="J235" s="41">
        <v>7.4</v>
      </c>
      <c r="K235" s="41">
        <v>5.5</v>
      </c>
      <c r="L235" s="41">
        <v>5.5</v>
      </c>
      <c r="M235" s="43" t="s">
        <v>204</v>
      </c>
      <c r="N235" s="44">
        <v>46041.0</v>
      </c>
      <c r="O235" s="36" t="s">
        <v>30</v>
      </c>
      <c r="P235" s="36" t="s">
        <v>31</v>
      </c>
      <c r="Q235" s="45"/>
      <c r="R235" s="45"/>
    </row>
    <row r="236" ht="22.5" customHeight="1">
      <c r="A236" s="32" t="s">
        <v>656</v>
      </c>
      <c r="B236" s="33" t="s">
        <v>657</v>
      </c>
      <c r="C236" s="35" t="s">
        <v>330</v>
      </c>
      <c r="D236" s="36">
        <v>7.2</v>
      </c>
      <c r="E236" s="37">
        <v>0.68</v>
      </c>
      <c r="F236" s="38">
        <v>6.5</v>
      </c>
      <c r="G236" s="39">
        <v>6.7</v>
      </c>
      <c r="H236" s="41">
        <v>6.8</v>
      </c>
      <c r="I236" s="41">
        <v>5.4</v>
      </c>
      <c r="J236" s="41">
        <v>7.1</v>
      </c>
      <c r="K236" s="41">
        <v>6.6</v>
      </c>
      <c r="L236" s="41">
        <v>6.4</v>
      </c>
      <c r="M236" s="43" t="s">
        <v>454</v>
      </c>
      <c r="N236" s="44">
        <v>46187.0</v>
      </c>
      <c r="O236" s="36" t="s">
        <v>30</v>
      </c>
      <c r="P236" s="36" t="s">
        <v>31</v>
      </c>
      <c r="Q236" s="45"/>
      <c r="R236" s="45"/>
    </row>
    <row r="237" ht="22.5" customHeight="1">
      <c r="A237" s="32" t="s">
        <v>658</v>
      </c>
      <c r="B237" s="33" t="s">
        <v>659</v>
      </c>
      <c r="C237" s="35" t="s">
        <v>41</v>
      </c>
      <c r="D237" s="36">
        <v>6.0</v>
      </c>
      <c r="E237" s="37">
        <v>0.51</v>
      </c>
      <c r="F237" s="38">
        <v>6.483333333333333</v>
      </c>
      <c r="G237" s="39">
        <v>6.5</v>
      </c>
      <c r="H237" s="41">
        <v>8.2</v>
      </c>
      <c r="I237" s="41">
        <v>5.6</v>
      </c>
      <c r="J237" s="41">
        <v>7.9</v>
      </c>
      <c r="K237" s="41">
        <v>5.2</v>
      </c>
      <c r="L237" s="41">
        <v>5.5</v>
      </c>
      <c r="M237" s="43" t="s">
        <v>50</v>
      </c>
      <c r="N237" s="44">
        <v>46079.0</v>
      </c>
      <c r="O237" s="36" t="s">
        <v>30</v>
      </c>
      <c r="P237" s="36" t="s">
        <v>31</v>
      </c>
      <c r="Q237" s="45"/>
      <c r="R237" s="45"/>
    </row>
    <row r="238" ht="22.5" customHeight="1">
      <c r="A238" s="32" t="s">
        <v>660</v>
      </c>
      <c r="B238" s="33" t="s">
        <v>661</v>
      </c>
      <c r="C238" s="35" t="s">
        <v>41</v>
      </c>
      <c r="D238" s="36">
        <v>7.5</v>
      </c>
      <c r="E238" s="37">
        <v>0.9</v>
      </c>
      <c r="F238" s="38">
        <v>6.45</v>
      </c>
      <c r="G238" s="39">
        <v>5.5</v>
      </c>
      <c r="H238" s="36">
        <v>3.5</v>
      </c>
      <c r="I238" s="36">
        <v>6.7</v>
      </c>
      <c r="J238" s="36">
        <v>8.8</v>
      </c>
      <c r="K238" s="36">
        <v>7.2</v>
      </c>
      <c r="L238" s="36">
        <v>7.0</v>
      </c>
      <c r="M238" s="43" t="s">
        <v>61</v>
      </c>
      <c r="N238" s="44">
        <v>45604.0</v>
      </c>
      <c r="O238" s="50" t="s">
        <v>30</v>
      </c>
      <c r="P238" s="36" t="s">
        <v>31</v>
      </c>
      <c r="Q238" s="45"/>
      <c r="R238" s="45"/>
    </row>
    <row r="239" ht="22.5" customHeight="1">
      <c r="A239" s="32" t="s">
        <v>662</v>
      </c>
      <c r="B239" s="33" t="s">
        <v>663</v>
      </c>
      <c r="C239" s="35" t="s">
        <v>96</v>
      </c>
      <c r="D239" s="36">
        <v>6.5</v>
      </c>
      <c r="E239" s="37">
        <v>0.55</v>
      </c>
      <c r="F239" s="38">
        <v>6.45</v>
      </c>
      <c r="G239" s="39">
        <v>7.7</v>
      </c>
      <c r="H239" s="41">
        <v>6.2</v>
      </c>
      <c r="I239" s="41">
        <v>5.3</v>
      </c>
      <c r="J239" s="41">
        <v>6.0</v>
      </c>
      <c r="K239" s="41">
        <v>7.3</v>
      </c>
      <c r="L239" s="41">
        <v>6.2</v>
      </c>
      <c r="M239" s="43" t="s">
        <v>361</v>
      </c>
      <c r="N239" s="44">
        <v>46243.0</v>
      </c>
      <c r="O239" s="36" t="s">
        <v>30</v>
      </c>
      <c r="P239" s="36" t="s">
        <v>31</v>
      </c>
      <c r="Q239" s="45"/>
      <c r="R239" s="45"/>
    </row>
    <row r="240" ht="22.5" customHeight="1">
      <c r="A240" s="32" t="s">
        <v>664</v>
      </c>
      <c r="B240" s="33" t="s">
        <v>665</v>
      </c>
      <c r="C240" s="35" t="s">
        <v>666</v>
      </c>
      <c r="D240" s="36">
        <v>7.8</v>
      </c>
      <c r="E240" s="37">
        <v>0.91</v>
      </c>
      <c r="F240" s="38">
        <v>6.433333333333334</v>
      </c>
      <c r="G240" s="39">
        <v>7.4</v>
      </c>
      <c r="H240" s="41">
        <v>6.5</v>
      </c>
      <c r="I240" s="41">
        <v>6.3</v>
      </c>
      <c r="J240" s="41">
        <v>5.3</v>
      </c>
      <c r="K240" s="41">
        <v>5.4</v>
      </c>
      <c r="L240" s="41">
        <v>7.7</v>
      </c>
      <c r="M240" s="43" t="s">
        <v>454</v>
      </c>
      <c r="N240" s="44">
        <v>45610.0</v>
      </c>
      <c r="O240" s="50" t="s">
        <v>30</v>
      </c>
      <c r="P240" s="36" t="s">
        <v>31</v>
      </c>
      <c r="Q240" s="45"/>
      <c r="R240" s="45"/>
    </row>
    <row r="241" ht="22.5" customHeight="1">
      <c r="A241" s="32" t="s">
        <v>667</v>
      </c>
      <c r="B241" s="33" t="s">
        <v>668</v>
      </c>
      <c r="C241" s="35" t="s">
        <v>166</v>
      </c>
      <c r="D241" s="36">
        <v>6.1</v>
      </c>
      <c r="E241" s="37">
        <v>0.63</v>
      </c>
      <c r="F241" s="38">
        <v>6.416666666666667</v>
      </c>
      <c r="G241" s="39">
        <v>6.4</v>
      </c>
      <c r="H241" s="36">
        <v>6.5</v>
      </c>
      <c r="I241" s="36">
        <v>6.5</v>
      </c>
      <c r="J241" s="36">
        <v>7.9</v>
      </c>
      <c r="K241" s="36">
        <v>4.7</v>
      </c>
      <c r="L241" s="36">
        <v>6.5</v>
      </c>
      <c r="M241" s="43" t="s">
        <v>436</v>
      </c>
      <c r="N241" s="44">
        <v>45628.0</v>
      </c>
      <c r="O241" s="50" t="s">
        <v>30</v>
      </c>
      <c r="P241" s="36" t="s">
        <v>31</v>
      </c>
      <c r="Q241" s="45"/>
      <c r="R241" s="45"/>
    </row>
    <row r="242" ht="22.5" customHeight="1">
      <c r="A242" s="32" t="s">
        <v>669</v>
      </c>
      <c r="B242" s="33" t="s">
        <v>441</v>
      </c>
      <c r="C242" s="35" t="s">
        <v>630</v>
      </c>
      <c r="D242" s="36">
        <v>6.8</v>
      </c>
      <c r="E242" s="37">
        <v>0.88</v>
      </c>
      <c r="F242" s="38">
        <v>6.366666666666667</v>
      </c>
      <c r="G242" s="39">
        <v>7.7</v>
      </c>
      <c r="H242" s="41">
        <v>5.7</v>
      </c>
      <c r="I242" s="41">
        <v>5.4</v>
      </c>
      <c r="J242" s="41">
        <v>8.1</v>
      </c>
      <c r="K242" s="41">
        <v>5.1</v>
      </c>
      <c r="L242" s="41">
        <v>6.2</v>
      </c>
      <c r="M242" s="43" t="s">
        <v>213</v>
      </c>
      <c r="N242" s="44">
        <v>45881.0</v>
      </c>
      <c r="O242" s="36" t="s">
        <v>30</v>
      </c>
      <c r="P242" s="36" t="s">
        <v>31</v>
      </c>
      <c r="Q242" s="45"/>
      <c r="R242" s="45"/>
    </row>
    <row r="243" ht="22.5" customHeight="1">
      <c r="A243" s="32" t="s">
        <v>670</v>
      </c>
      <c r="B243" s="33" t="s">
        <v>671</v>
      </c>
      <c r="C243" s="35" t="s">
        <v>521</v>
      </c>
      <c r="D243" s="36">
        <v>6.4</v>
      </c>
      <c r="E243" s="37">
        <v>0.42</v>
      </c>
      <c r="F243" s="38">
        <v>6.349999999999999</v>
      </c>
      <c r="G243" s="39">
        <v>7.9</v>
      </c>
      <c r="H243" s="41">
        <v>8.5</v>
      </c>
      <c r="I243" s="41">
        <v>5.0</v>
      </c>
      <c r="J243" s="41">
        <v>5.2</v>
      </c>
      <c r="K243" s="41">
        <v>5.2</v>
      </c>
      <c r="L243" s="41">
        <v>6.3</v>
      </c>
      <c r="M243" s="43" t="s">
        <v>467</v>
      </c>
      <c r="N243" s="44">
        <v>45646.0</v>
      </c>
      <c r="O243" s="36" t="s">
        <v>30</v>
      </c>
      <c r="P243" s="36" t="s">
        <v>31</v>
      </c>
      <c r="Q243" s="45"/>
      <c r="R243" s="45"/>
    </row>
    <row r="244" ht="22.5" customHeight="1">
      <c r="A244" s="32" t="s">
        <v>672</v>
      </c>
      <c r="B244" s="33" t="s">
        <v>673</v>
      </c>
      <c r="C244" s="35" t="s">
        <v>41</v>
      </c>
      <c r="D244" s="36">
        <v>5.6</v>
      </c>
      <c r="E244" s="37">
        <v>0.42</v>
      </c>
      <c r="F244" s="38">
        <v>6.333333333333333</v>
      </c>
      <c r="G244" s="39">
        <v>6.4</v>
      </c>
      <c r="H244" s="41">
        <v>5.8</v>
      </c>
      <c r="I244" s="41">
        <v>6.7</v>
      </c>
      <c r="J244" s="36">
        <v>7.2</v>
      </c>
      <c r="K244" s="36">
        <v>5.2</v>
      </c>
      <c r="L244" s="41">
        <v>6.7</v>
      </c>
      <c r="M244" s="43" t="s">
        <v>317</v>
      </c>
      <c r="N244" s="44">
        <v>45625.0</v>
      </c>
      <c r="O244" s="36" t="s">
        <v>30</v>
      </c>
      <c r="P244" s="36" t="s">
        <v>31</v>
      </c>
      <c r="Q244" s="45"/>
      <c r="R244" s="45"/>
    </row>
    <row r="245" ht="22.5" customHeight="1">
      <c r="A245" s="32" t="s">
        <v>674</v>
      </c>
      <c r="B245" s="33" t="s">
        <v>675</v>
      </c>
      <c r="C245" s="35" t="s">
        <v>630</v>
      </c>
      <c r="D245" s="36">
        <v>6.7</v>
      </c>
      <c r="E245" s="37">
        <v>0.51</v>
      </c>
      <c r="F245" s="38">
        <v>6.333333333333332</v>
      </c>
      <c r="G245" s="39">
        <v>7.1</v>
      </c>
      <c r="H245" s="41">
        <v>6.8</v>
      </c>
      <c r="I245" s="41">
        <v>5.4</v>
      </c>
      <c r="J245" s="41">
        <v>5.7</v>
      </c>
      <c r="K245" s="41">
        <v>6.6</v>
      </c>
      <c r="L245" s="41">
        <v>6.4</v>
      </c>
      <c r="M245" s="43" t="s">
        <v>92</v>
      </c>
      <c r="N245" s="44">
        <v>46155.0</v>
      </c>
      <c r="O245" s="36" t="s">
        <v>30</v>
      </c>
      <c r="P245" s="36" t="s">
        <v>31</v>
      </c>
      <c r="Q245" s="45"/>
      <c r="R245" s="45"/>
    </row>
    <row r="246" ht="22.5" customHeight="1">
      <c r="A246" s="32" t="s">
        <v>676</v>
      </c>
      <c r="B246" s="33" t="s">
        <v>677</v>
      </c>
      <c r="C246" s="35" t="s">
        <v>678</v>
      </c>
      <c r="D246" s="36">
        <v>8.8</v>
      </c>
      <c r="E246" s="37">
        <v>0.92</v>
      </c>
      <c r="F246" s="38">
        <v>6.283333333333334</v>
      </c>
      <c r="G246" s="39">
        <v>7.2</v>
      </c>
      <c r="H246" s="36">
        <v>7.5</v>
      </c>
      <c r="I246" s="41">
        <v>5.0</v>
      </c>
      <c r="J246" s="41">
        <v>5.0</v>
      </c>
      <c r="K246" s="36">
        <v>6.5</v>
      </c>
      <c r="L246" s="41">
        <v>6.5</v>
      </c>
      <c r="M246" s="43" t="s">
        <v>536</v>
      </c>
      <c r="N246" s="44">
        <v>45874.0</v>
      </c>
      <c r="O246" s="36" t="s">
        <v>30</v>
      </c>
      <c r="P246" s="36" t="s">
        <v>31</v>
      </c>
      <c r="Q246" s="45"/>
      <c r="R246" s="45"/>
    </row>
    <row r="247" ht="22.5" customHeight="1">
      <c r="A247" s="36" t="s">
        <v>679</v>
      </c>
      <c r="B247" s="33" t="s">
        <v>680</v>
      </c>
      <c r="C247" s="35" t="s">
        <v>681</v>
      </c>
      <c r="D247" s="36">
        <v>7.6</v>
      </c>
      <c r="E247" s="37">
        <v>0.93</v>
      </c>
      <c r="F247" s="38">
        <v>6.283333333333334</v>
      </c>
      <c r="G247" s="39">
        <v>6.5</v>
      </c>
      <c r="H247" s="36">
        <v>6.0</v>
      </c>
      <c r="I247" s="36">
        <v>6.3</v>
      </c>
      <c r="J247" s="36">
        <v>7.5</v>
      </c>
      <c r="K247" s="36">
        <v>5.4</v>
      </c>
      <c r="L247" s="36">
        <v>6.0</v>
      </c>
      <c r="M247" s="43" t="s">
        <v>682</v>
      </c>
      <c r="N247" s="44">
        <v>45874.0</v>
      </c>
      <c r="O247" s="50" t="s">
        <v>30</v>
      </c>
      <c r="P247" s="36" t="s">
        <v>31</v>
      </c>
      <c r="Q247" s="45"/>
      <c r="R247" s="45"/>
    </row>
    <row r="248" ht="22.5" customHeight="1">
      <c r="A248" s="36" t="s">
        <v>683</v>
      </c>
      <c r="B248" s="33" t="s">
        <v>684</v>
      </c>
      <c r="C248" s="35" t="s">
        <v>685</v>
      </c>
      <c r="D248" s="36">
        <v>6.7</v>
      </c>
      <c r="E248" s="37">
        <v>0.17</v>
      </c>
      <c r="F248" s="38">
        <v>6.266666666666667</v>
      </c>
      <c r="G248" s="39">
        <v>6.6</v>
      </c>
      <c r="H248" s="36">
        <v>6.6</v>
      </c>
      <c r="I248" s="36">
        <v>5.3</v>
      </c>
      <c r="J248" s="36">
        <v>5.6</v>
      </c>
      <c r="K248" s="36">
        <v>6.8</v>
      </c>
      <c r="L248" s="36">
        <v>6.7</v>
      </c>
      <c r="M248" s="43" t="s">
        <v>58</v>
      </c>
      <c r="N248" s="44">
        <v>46136.0</v>
      </c>
      <c r="O248" s="50" t="s">
        <v>30</v>
      </c>
      <c r="P248" s="36" t="s">
        <v>31</v>
      </c>
      <c r="Q248" s="45"/>
      <c r="R248" s="45"/>
    </row>
    <row r="249" ht="22.5" customHeight="1">
      <c r="A249" s="32" t="s">
        <v>686</v>
      </c>
      <c r="B249" s="33" t="s">
        <v>687</v>
      </c>
      <c r="C249" s="35" t="s">
        <v>435</v>
      </c>
      <c r="D249" s="36">
        <v>6.1</v>
      </c>
      <c r="E249" s="37">
        <v>0.25</v>
      </c>
      <c r="F249" s="38">
        <v>6.266666666666666</v>
      </c>
      <c r="G249" s="39">
        <v>6.2</v>
      </c>
      <c r="H249" s="41">
        <v>6.5</v>
      </c>
      <c r="I249" s="41">
        <v>6.5</v>
      </c>
      <c r="J249" s="41">
        <v>7.6</v>
      </c>
      <c r="K249" s="41">
        <v>5.8</v>
      </c>
      <c r="L249" s="41">
        <v>5.0</v>
      </c>
      <c r="M249" s="43" t="s">
        <v>350</v>
      </c>
      <c r="N249" s="44">
        <v>45918.0</v>
      </c>
      <c r="O249" s="36" t="s">
        <v>30</v>
      </c>
      <c r="P249" s="36" t="s">
        <v>31</v>
      </c>
      <c r="Q249" s="45"/>
      <c r="R249" s="45"/>
    </row>
    <row r="250" ht="22.5" customHeight="1">
      <c r="A250" s="32" t="s">
        <v>688</v>
      </c>
      <c r="B250" s="33" t="s">
        <v>689</v>
      </c>
      <c r="C250" s="35" t="s">
        <v>685</v>
      </c>
      <c r="D250" s="36">
        <v>6.3</v>
      </c>
      <c r="E250" s="37">
        <v>0.25</v>
      </c>
      <c r="F250" s="38">
        <v>6.25</v>
      </c>
      <c r="G250" s="39">
        <v>6.8</v>
      </c>
      <c r="H250" s="41">
        <v>7.1</v>
      </c>
      <c r="I250" s="41">
        <v>5.2</v>
      </c>
      <c r="J250" s="41">
        <v>6.6</v>
      </c>
      <c r="K250" s="41">
        <v>6.3</v>
      </c>
      <c r="L250" s="41">
        <v>5.5</v>
      </c>
      <c r="M250" s="43" t="s">
        <v>690</v>
      </c>
      <c r="N250" s="44">
        <v>46145.0</v>
      </c>
      <c r="O250" s="36" t="s">
        <v>30</v>
      </c>
      <c r="P250" s="36" t="s">
        <v>31</v>
      </c>
      <c r="Q250" s="45"/>
      <c r="R250" s="45"/>
    </row>
    <row r="251" ht="22.5" customHeight="1">
      <c r="A251" s="32" t="s">
        <v>691</v>
      </c>
      <c r="B251" s="33" t="s">
        <v>692</v>
      </c>
      <c r="C251" s="35" t="s">
        <v>41</v>
      </c>
      <c r="D251" s="36">
        <v>6.7</v>
      </c>
      <c r="E251" s="37">
        <v>0.91</v>
      </c>
      <c r="F251" s="38">
        <v>6.233333333333333</v>
      </c>
      <c r="G251" s="39">
        <v>5.5</v>
      </c>
      <c r="H251" s="36">
        <v>5.2</v>
      </c>
      <c r="I251" s="36">
        <v>5.6</v>
      </c>
      <c r="J251" s="36">
        <v>7.3</v>
      </c>
      <c r="K251" s="36">
        <v>7.3</v>
      </c>
      <c r="L251" s="36">
        <v>6.5</v>
      </c>
      <c r="M251" s="43" t="s">
        <v>123</v>
      </c>
      <c r="N251" s="44">
        <v>45646.0</v>
      </c>
      <c r="O251" s="50" t="s">
        <v>30</v>
      </c>
      <c r="P251" s="36" t="s">
        <v>31</v>
      </c>
      <c r="Q251" s="45"/>
      <c r="R251" s="45"/>
    </row>
    <row r="252" ht="22.5" customHeight="1">
      <c r="A252" s="32" t="s">
        <v>693</v>
      </c>
      <c r="B252" s="33" t="s">
        <v>694</v>
      </c>
      <c r="C252" s="35" t="s">
        <v>459</v>
      </c>
      <c r="D252" s="36">
        <v>6.6</v>
      </c>
      <c r="E252" s="37">
        <v>0.49</v>
      </c>
      <c r="F252" s="38">
        <v>6.216666666666668</v>
      </c>
      <c r="G252" s="39">
        <v>7.6</v>
      </c>
      <c r="H252" s="41">
        <v>5.5</v>
      </c>
      <c r="I252" s="41">
        <v>5.0</v>
      </c>
      <c r="J252" s="41">
        <v>6.0</v>
      </c>
      <c r="K252" s="41">
        <v>5.6</v>
      </c>
      <c r="L252" s="41">
        <v>7.6</v>
      </c>
      <c r="M252" s="43" t="s">
        <v>92</v>
      </c>
      <c r="N252" s="44">
        <v>46194.0</v>
      </c>
      <c r="O252" s="36" t="s">
        <v>30</v>
      </c>
      <c r="P252" s="36" t="s">
        <v>31</v>
      </c>
      <c r="Q252" s="45"/>
      <c r="R252" s="45"/>
    </row>
    <row r="253" ht="22.5" customHeight="1">
      <c r="A253" s="32" t="s">
        <v>695</v>
      </c>
      <c r="B253" s="33" t="s">
        <v>696</v>
      </c>
      <c r="C253" s="35" t="s">
        <v>697</v>
      </c>
      <c r="D253" s="36">
        <v>7.1</v>
      </c>
      <c r="E253" s="37">
        <v>0.83</v>
      </c>
      <c r="F253" s="38">
        <v>6.216666666666666</v>
      </c>
      <c r="G253" s="39">
        <v>5.6</v>
      </c>
      <c r="H253" s="41">
        <v>5.6</v>
      </c>
      <c r="I253" s="41">
        <v>7.6</v>
      </c>
      <c r="J253" s="41">
        <v>7.6</v>
      </c>
      <c r="K253" s="41">
        <v>5.4</v>
      </c>
      <c r="L253" s="41">
        <v>5.5</v>
      </c>
      <c r="M253" s="43" t="s">
        <v>61</v>
      </c>
      <c r="N253" s="44">
        <v>45874.0</v>
      </c>
      <c r="O253" s="50" t="s">
        <v>30</v>
      </c>
      <c r="P253" s="36" t="s">
        <v>31</v>
      </c>
      <c r="Q253" s="45"/>
      <c r="R253" s="45"/>
    </row>
    <row r="254" ht="22.5" customHeight="1">
      <c r="A254" s="32" t="s">
        <v>698</v>
      </c>
      <c r="B254" s="33" t="s">
        <v>699</v>
      </c>
      <c r="C254" s="35" t="s">
        <v>685</v>
      </c>
      <c r="D254" s="36">
        <v>7.0</v>
      </c>
      <c r="E254" s="37">
        <v>0.3</v>
      </c>
      <c r="F254" s="38">
        <v>6.216666666666666</v>
      </c>
      <c r="G254" s="39">
        <v>6.4</v>
      </c>
      <c r="H254" s="41">
        <v>6.7</v>
      </c>
      <c r="I254" s="36">
        <v>5.5</v>
      </c>
      <c r="J254" s="36">
        <v>5.7</v>
      </c>
      <c r="K254" s="36">
        <v>6.6</v>
      </c>
      <c r="L254" s="36">
        <v>6.4</v>
      </c>
      <c r="M254" s="43" t="s">
        <v>136</v>
      </c>
      <c r="N254" s="44">
        <v>46121.0</v>
      </c>
      <c r="O254" s="50" t="s">
        <v>30</v>
      </c>
      <c r="P254" s="36" t="s">
        <v>31</v>
      </c>
      <c r="Q254" s="45"/>
      <c r="R254" s="45"/>
    </row>
    <row r="255" ht="22.5" customHeight="1">
      <c r="A255" s="32" t="s">
        <v>700</v>
      </c>
      <c r="B255" s="33" t="s">
        <v>701</v>
      </c>
      <c r="C255" s="35" t="s">
        <v>459</v>
      </c>
      <c r="D255" s="36">
        <v>5.7</v>
      </c>
      <c r="E255" s="37">
        <v>0.41</v>
      </c>
      <c r="F255" s="38">
        <v>6.199999999999999</v>
      </c>
      <c r="G255" s="39">
        <v>7.0</v>
      </c>
      <c r="H255" s="41">
        <v>6.5</v>
      </c>
      <c r="I255" s="41">
        <v>5.5</v>
      </c>
      <c r="J255" s="41">
        <v>7.3</v>
      </c>
      <c r="K255" s="41">
        <v>5.6</v>
      </c>
      <c r="L255" s="41">
        <v>5.3</v>
      </c>
      <c r="M255" s="43" t="s">
        <v>395</v>
      </c>
      <c r="N255" s="44">
        <v>46201.0</v>
      </c>
      <c r="O255" s="36" t="s">
        <v>30</v>
      </c>
      <c r="P255" s="36" t="s">
        <v>31</v>
      </c>
      <c r="Q255" s="45"/>
      <c r="R255" s="45"/>
    </row>
    <row r="256" ht="22.5" customHeight="1">
      <c r="A256" s="36" t="s">
        <v>702</v>
      </c>
      <c r="B256" s="33" t="s">
        <v>703</v>
      </c>
      <c r="C256" s="35" t="s">
        <v>200</v>
      </c>
      <c r="D256" s="36">
        <v>6.9</v>
      </c>
      <c r="E256" s="37">
        <v>0.72</v>
      </c>
      <c r="F256" s="38">
        <v>6.183333333333333</v>
      </c>
      <c r="G256" s="39">
        <v>6.5</v>
      </c>
      <c r="H256" s="36">
        <v>7.4</v>
      </c>
      <c r="I256" s="36">
        <v>5.0</v>
      </c>
      <c r="J256" s="36">
        <v>6.2</v>
      </c>
      <c r="K256" s="36">
        <v>7.0</v>
      </c>
      <c r="L256" s="36">
        <v>5.0</v>
      </c>
      <c r="M256" s="43" t="s">
        <v>482</v>
      </c>
      <c r="N256" s="44">
        <v>45608.0</v>
      </c>
      <c r="O256" s="50" t="s">
        <v>30</v>
      </c>
      <c r="P256" s="36" t="s">
        <v>31</v>
      </c>
      <c r="Q256" s="45"/>
      <c r="R256" s="45"/>
    </row>
    <row r="257" ht="22.5" customHeight="1">
      <c r="A257" s="32" t="s">
        <v>704</v>
      </c>
      <c r="B257" s="33" t="s">
        <v>705</v>
      </c>
      <c r="C257" s="35" t="s">
        <v>427</v>
      </c>
      <c r="D257" s="36">
        <v>7.9</v>
      </c>
      <c r="E257" s="37">
        <v>0.84</v>
      </c>
      <c r="F257" s="38">
        <v>6.166666666666667</v>
      </c>
      <c r="G257" s="39">
        <v>5.3</v>
      </c>
      <c r="H257" s="36">
        <v>5.1</v>
      </c>
      <c r="I257" s="36">
        <v>6.2</v>
      </c>
      <c r="J257" s="36">
        <v>8.0</v>
      </c>
      <c r="K257" s="36">
        <v>6.4</v>
      </c>
      <c r="L257" s="36">
        <v>6.0</v>
      </c>
      <c r="M257" s="43" t="s">
        <v>175</v>
      </c>
      <c r="N257" s="44">
        <v>45874.0</v>
      </c>
      <c r="O257" s="50" t="s">
        <v>30</v>
      </c>
      <c r="P257" s="36" t="s">
        <v>31</v>
      </c>
      <c r="Q257" s="45"/>
      <c r="R257" s="45"/>
    </row>
    <row r="258" ht="22.5" customHeight="1">
      <c r="A258" s="32" t="s">
        <v>706</v>
      </c>
      <c r="B258" s="33" t="s">
        <v>707</v>
      </c>
      <c r="C258" s="35" t="s">
        <v>708</v>
      </c>
      <c r="D258" s="36">
        <v>7.1</v>
      </c>
      <c r="E258" s="37">
        <v>0.91</v>
      </c>
      <c r="F258" s="38">
        <v>6.166666666666667</v>
      </c>
      <c r="G258" s="39">
        <v>5.7</v>
      </c>
      <c r="H258" s="36">
        <v>6.6</v>
      </c>
      <c r="I258" s="36">
        <v>5.5</v>
      </c>
      <c r="J258" s="36">
        <v>6.1</v>
      </c>
      <c r="K258" s="36">
        <v>6.6</v>
      </c>
      <c r="L258" s="36">
        <v>6.5</v>
      </c>
      <c r="M258" s="43" t="s">
        <v>299</v>
      </c>
      <c r="N258" s="44">
        <v>46039.0</v>
      </c>
      <c r="O258" s="50" t="s">
        <v>30</v>
      </c>
      <c r="P258" s="36" t="s">
        <v>31</v>
      </c>
      <c r="Q258" s="45"/>
      <c r="R258" s="45"/>
    </row>
    <row r="259" ht="22.5" customHeight="1">
      <c r="A259" s="32" t="s">
        <v>709</v>
      </c>
      <c r="B259" s="35" t="s">
        <v>710</v>
      </c>
      <c r="C259" s="35" t="s">
        <v>630</v>
      </c>
      <c r="D259" s="36">
        <v>5.9</v>
      </c>
      <c r="E259" s="37">
        <v>0.64</v>
      </c>
      <c r="F259" s="38">
        <v>6.166666666666667</v>
      </c>
      <c r="G259" s="39">
        <v>6.1</v>
      </c>
      <c r="H259" s="36">
        <v>7.1</v>
      </c>
      <c r="I259" s="36">
        <v>5.2</v>
      </c>
      <c r="J259" s="36">
        <v>5.8</v>
      </c>
      <c r="K259" s="36">
        <v>6.5</v>
      </c>
      <c r="L259" s="36">
        <v>6.3</v>
      </c>
      <c r="M259" s="43" t="s">
        <v>467</v>
      </c>
      <c r="N259" s="44">
        <v>46154.0</v>
      </c>
      <c r="O259" s="50" t="s">
        <v>30</v>
      </c>
      <c r="P259" s="36" t="s">
        <v>31</v>
      </c>
      <c r="Q259" s="45"/>
      <c r="R259" s="45"/>
    </row>
    <row r="260" ht="22.5" customHeight="1">
      <c r="A260" s="32" t="s">
        <v>711</v>
      </c>
      <c r="B260" s="33" t="s">
        <v>712</v>
      </c>
      <c r="C260" s="35" t="s">
        <v>713</v>
      </c>
      <c r="D260" s="36">
        <v>7.0</v>
      </c>
      <c r="E260" s="37">
        <v>0.77</v>
      </c>
      <c r="F260" s="38">
        <v>6.1499999999999995</v>
      </c>
      <c r="G260" s="39">
        <v>7.5</v>
      </c>
      <c r="H260" s="36">
        <v>7.5</v>
      </c>
      <c r="I260" s="36">
        <v>5.0</v>
      </c>
      <c r="J260" s="36">
        <v>5.5</v>
      </c>
      <c r="K260" s="36">
        <v>6.0</v>
      </c>
      <c r="L260" s="36">
        <v>5.4</v>
      </c>
      <c r="M260" s="43" t="s">
        <v>213</v>
      </c>
      <c r="N260" s="44">
        <v>45608.0</v>
      </c>
      <c r="O260" s="50" t="s">
        <v>30</v>
      </c>
      <c r="P260" s="36" t="s">
        <v>31</v>
      </c>
      <c r="Q260" s="45"/>
      <c r="R260" s="45"/>
    </row>
    <row r="261" ht="22.5" customHeight="1">
      <c r="A261" s="32" t="s">
        <v>714</v>
      </c>
      <c r="B261" s="33" t="s">
        <v>715</v>
      </c>
      <c r="C261" s="35" t="s">
        <v>238</v>
      </c>
      <c r="D261" s="36">
        <v>7.1</v>
      </c>
      <c r="E261" s="37"/>
      <c r="F261" s="38">
        <v>6.1000000000000005</v>
      </c>
      <c r="G261" s="39">
        <v>6.2</v>
      </c>
      <c r="H261" s="36">
        <v>6.1</v>
      </c>
      <c r="I261" s="36">
        <v>6.5</v>
      </c>
      <c r="J261" s="36">
        <v>4.4</v>
      </c>
      <c r="K261" s="36">
        <v>6.7</v>
      </c>
      <c r="L261" s="36">
        <v>6.7</v>
      </c>
      <c r="M261" s="43" t="s">
        <v>213</v>
      </c>
      <c r="N261" s="44">
        <v>45682.0</v>
      </c>
      <c r="O261" s="50" t="s">
        <v>30</v>
      </c>
      <c r="P261" s="36" t="s">
        <v>31</v>
      </c>
      <c r="Q261" s="45"/>
      <c r="R261" s="45"/>
    </row>
    <row r="262" ht="22.5" customHeight="1">
      <c r="A262" s="32" t="s">
        <v>716</v>
      </c>
      <c r="B262" s="33" t="s">
        <v>717</v>
      </c>
      <c r="C262" s="35" t="s">
        <v>191</v>
      </c>
      <c r="D262" s="36">
        <v>7.2</v>
      </c>
      <c r="E262" s="37">
        <v>0.83</v>
      </c>
      <c r="F262" s="38">
        <v>6.083333333333332</v>
      </c>
      <c r="G262" s="39">
        <v>6.5</v>
      </c>
      <c r="H262" s="36">
        <v>4.5</v>
      </c>
      <c r="I262" s="36">
        <v>5.4</v>
      </c>
      <c r="J262" s="36">
        <v>7.2</v>
      </c>
      <c r="K262" s="36">
        <v>6.6</v>
      </c>
      <c r="L262" s="36">
        <v>6.3</v>
      </c>
      <c r="M262" s="43" t="s">
        <v>97</v>
      </c>
      <c r="N262" s="44">
        <v>45625.0</v>
      </c>
      <c r="O262" s="36" t="s">
        <v>30</v>
      </c>
      <c r="P262" s="36" t="s">
        <v>31</v>
      </c>
      <c r="Q262" s="45"/>
      <c r="R262" s="45"/>
    </row>
    <row r="263" ht="22.5" customHeight="1">
      <c r="A263" s="32" t="s">
        <v>718</v>
      </c>
      <c r="B263" s="33" t="s">
        <v>719</v>
      </c>
      <c r="C263" s="35" t="s">
        <v>435</v>
      </c>
      <c r="D263" s="36">
        <v>6.5</v>
      </c>
      <c r="E263" s="37">
        <v>0.8</v>
      </c>
      <c r="F263" s="38">
        <v>6.066666666666667</v>
      </c>
      <c r="G263" s="39">
        <v>6.5</v>
      </c>
      <c r="H263" s="36">
        <v>5.4</v>
      </c>
      <c r="I263" s="36">
        <v>5.4</v>
      </c>
      <c r="J263" s="36">
        <v>6.8</v>
      </c>
      <c r="K263" s="36">
        <v>6.3</v>
      </c>
      <c r="L263" s="36">
        <v>6.0</v>
      </c>
      <c r="M263" s="43" t="s">
        <v>409</v>
      </c>
      <c r="N263" s="44">
        <v>45801.0</v>
      </c>
      <c r="O263" s="50" t="s">
        <v>30</v>
      </c>
      <c r="P263" s="36" t="s">
        <v>31</v>
      </c>
      <c r="Q263" s="45"/>
      <c r="R263" s="45"/>
    </row>
    <row r="264" ht="22.5" customHeight="1">
      <c r="A264" s="32" t="s">
        <v>720</v>
      </c>
      <c r="B264" s="33" t="s">
        <v>313</v>
      </c>
      <c r="C264" s="35" t="s">
        <v>41</v>
      </c>
      <c r="D264" s="36">
        <v>6.0</v>
      </c>
      <c r="E264" s="37">
        <v>0.4</v>
      </c>
      <c r="F264" s="38">
        <v>6.066666666666667</v>
      </c>
      <c r="G264" s="39">
        <v>6.2</v>
      </c>
      <c r="H264" s="36">
        <v>5.4</v>
      </c>
      <c r="I264" s="36">
        <v>6.1</v>
      </c>
      <c r="J264" s="36">
        <v>8.2</v>
      </c>
      <c r="K264" s="36">
        <v>4.8</v>
      </c>
      <c r="L264" s="36">
        <v>5.7</v>
      </c>
      <c r="M264" s="43" t="s">
        <v>409</v>
      </c>
      <c r="N264" s="44">
        <v>45649.0</v>
      </c>
      <c r="O264" s="50" t="s">
        <v>30</v>
      </c>
      <c r="P264" s="36" t="s">
        <v>31</v>
      </c>
      <c r="Q264" s="45"/>
      <c r="R264" s="45"/>
    </row>
    <row r="265" ht="22.5" customHeight="1">
      <c r="A265" s="36" t="s">
        <v>721</v>
      </c>
      <c r="B265" s="33" t="s">
        <v>722</v>
      </c>
      <c r="C265" s="35" t="s">
        <v>28</v>
      </c>
      <c r="D265" s="36">
        <v>6.7</v>
      </c>
      <c r="E265" s="37">
        <v>0.64</v>
      </c>
      <c r="F265" s="38">
        <v>6.066666666666666</v>
      </c>
      <c r="G265" s="39">
        <v>6.8</v>
      </c>
      <c r="H265" s="36">
        <v>7.1</v>
      </c>
      <c r="I265" s="36">
        <v>5.6</v>
      </c>
      <c r="J265" s="36">
        <v>7.8</v>
      </c>
      <c r="K265" s="36">
        <v>4.6</v>
      </c>
      <c r="L265" s="36">
        <v>4.5</v>
      </c>
      <c r="M265" s="43" t="s">
        <v>372</v>
      </c>
      <c r="N265" s="44">
        <v>45646.0</v>
      </c>
      <c r="O265" s="50" t="s">
        <v>30</v>
      </c>
      <c r="P265" s="36" t="s">
        <v>31</v>
      </c>
      <c r="Q265" s="45"/>
      <c r="R265" s="45"/>
    </row>
    <row r="266" ht="22.5" customHeight="1">
      <c r="A266" s="36" t="s">
        <v>723</v>
      </c>
      <c r="B266" s="33" t="s">
        <v>724</v>
      </c>
      <c r="C266" s="35" t="s">
        <v>100</v>
      </c>
      <c r="D266" s="36">
        <v>6.1</v>
      </c>
      <c r="E266" s="37">
        <v>0.55</v>
      </c>
      <c r="F266" s="38">
        <v>6.05</v>
      </c>
      <c r="G266" s="39">
        <v>5.5</v>
      </c>
      <c r="H266" s="36">
        <v>5.4</v>
      </c>
      <c r="I266" s="36">
        <v>5.8</v>
      </c>
      <c r="J266" s="36">
        <v>8.8</v>
      </c>
      <c r="K266" s="36">
        <v>5.5</v>
      </c>
      <c r="L266" s="36">
        <v>5.3</v>
      </c>
      <c r="M266" s="43" t="s">
        <v>409</v>
      </c>
      <c r="N266" s="44">
        <v>46203.0</v>
      </c>
      <c r="O266" s="50" t="s">
        <v>30</v>
      </c>
      <c r="P266" s="36" t="s">
        <v>31</v>
      </c>
      <c r="Q266" s="45"/>
      <c r="R266" s="45"/>
    </row>
    <row r="267" ht="22.5" customHeight="1">
      <c r="A267" s="32" t="s">
        <v>725</v>
      </c>
      <c r="B267" s="33" t="s">
        <v>726</v>
      </c>
      <c r="C267" s="35" t="s">
        <v>166</v>
      </c>
      <c r="D267" s="36">
        <v>7.0</v>
      </c>
      <c r="E267" s="37">
        <v>0.87</v>
      </c>
      <c r="F267" s="38">
        <v>5.983333333333334</v>
      </c>
      <c r="G267" s="39">
        <v>6.7</v>
      </c>
      <c r="H267" s="36">
        <v>5.6</v>
      </c>
      <c r="I267" s="36">
        <v>5.0</v>
      </c>
      <c r="J267" s="36">
        <v>6.3</v>
      </c>
      <c r="K267" s="36">
        <v>6.8</v>
      </c>
      <c r="L267" s="36">
        <v>5.5</v>
      </c>
      <c r="M267" s="43" t="s">
        <v>436</v>
      </c>
      <c r="N267" s="44">
        <v>45646.0</v>
      </c>
      <c r="O267" s="50" t="s">
        <v>30</v>
      </c>
      <c r="P267" s="36" t="s">
        <v>31</v>
      </c>
      <c r="Q267" s="45"/>
      <c r="R267" s="45"/>
    </row>
    <row r="268" ht="22.5" customHeight="1">
      <c r="A268" s="36" t="s">
        <v>727</v>
      </c>
      <c r="B268" s="33" t="s">
        <v>728</v>
      </c>
      <c r="C268" s="35" t="s">
        <v>80</v>
      </c>
      <c r="D268" s="36">
        <v>5.8</v>
      </c>
      <c r="E268" s="37">
        <v>0.21</v>
      </c>
      <c r="F268" s="38">
        <v>5.966666666666666</v>
      </c>
      <c r="G268" s="39">
        <v>6.9</v>
      </c>
      <c r="H268" s="36">
        <v>5.6</v>
      </c>
      <c r="I268" s="36">
        <v>5.5</v>
      </c>
      <c r="J268" s="36">
        <v>6.4</v>
      </c>
      <c r="K268" s="36">
        <v>5.7</v>
      </c>
      <c r="L268" s="36">
        <v>5.7</v>
      </c>
      <c r="M268" s="43" t="s">
        <v>729</v>
      </c>
      <c r="N268" s="44">
        <v>46148.0</v>
      </c>
      <c r="O268" s="50" t="s">
        <v>30</v>
      </c>
      <c r="P268" s="36" t="s">
        <v>31</v>
      </c>
      <c r="Q268" s="45"/>
      <c r="R268" s="45"/>
    </row>
    <row r="269" ht="22.5" customHeight="1">
      <c r="A269" s="32" t="s">
        <v>730</v>
      </c>
      <c r="B269" s="33" t="s">
        <v>731</v>
      </c>
      <c r="C269" s="35" t="s">
        <v>133</v>
      </c>
      <c r="D269" s="36">
        <v>6.2</v>
      </c>
      <c r="E269" s="37">
        <v>0.42</v>
      </c>
      <c r="F269" s="38">
        <v>5.95</v>
      </c>
      <c r="G269" s="39">
        <v>5.6</v>
      </c>
      <c r="H269" s="36">
        <v>7.1</v>
      </c>
      <c r="I269" s="36">
        <v>5.0</v>
      </c>
      <c r="J269" s="36">
        <v>6.4</v>
      </c>
      <c r="K269" s="36">
        <v>5.5</v>
      </c>
      <c r="L269" s="36">
        <v>6.1</v>
      </c>
      <c r="M269" s="43" t="s">
        <v>732</v>
      </c>
      <c r="N269" s="44">
        <v>45899.0</v>
      </c>
      <c r="O269" s="50" t="s">
        <v>30</v>
      </c>
      <c r="P269" s="36" t="s">
        <v>31</v>
      </c>
      <c r="Q269" s="45"/>
      <c r="R269" s="45"/>
    </row>
    <row r="270" ht="22.5" customHeight="1">
      <c r="A270" s="32" t="s">
        <v>733</v>
      </c>
      <c r="B270" s="33" t="s">
        <v>734</v>
      </c>
      <c r="C270" s="35" t="s">
        <v>330</v>
      </c>
      <c r="D270" s="36">
        <v>7.5</v>
      </c>
      <c r="E270" s="37">
        <v>0.87</v>
      </c>
      <c r="F270" s="38">
        <v>5.916666666666667</v>
      </c>
      <c r="G270" s="39">
        <v>6.2</v>
      </c>
      <c r="H270" s="36">
        <v>5.9</v>
      </c>
      <c r="I270" s="36">
        <v>7.9</v>
      </c>
      <c r="J270" s="36">
        <v>4.5</v>
      </c>
      <c r="K270" s="36">
        <v>5.4</v>
      </c>
      <c r="L270" s="36">
        <v>5.6</v>
      </c>
      <c r="M270" s="43" t="s">
        <v>64</v>
      </c>
      <c r="N270" s="44">
        <v>45849.0</v>
      </c>
      <c r="O270" s="36" t="s">
        <v>30</v>
      </c>
      <c r="P270" s="36" t="s">
        <v>31</v>
      </c>
      <c r="Q270" s="45"/>
      <c r="R270" s="45"/>
    </row>
    <row r="271" ht="22.5" customHeight="1">
      <c r="A271" s="32" t="s">
        <v>735</v>
      </c>
      <c r="B271" s="33" t="s">
        <v>736</v>
      </c>
      <c r="C271" s="35" t="s">
        <v>100</v>
      </c>
      <c r="D271" s="36">
        <v>7.1</v>
      </c>
      <c r="E271" s="37">
        <v>0.63</v>
      </c>
      <c r="F271" s="38">
        <v>5.916666666666667</v>
      </c>
      <c r="G271" s="39">
        <v>5.6</v>
      </c>
      <c r="H271" s="36">
        <v>7.4</v>
      </c>
      <c r="I271" s="36">
        <v>5.0</v>
      </c>
      <c r="J271" s="36">
        <v>6.5</v>
      </c>
      <c r="K271" s="36">
        <v>5.0</v>
      </c>
      <c r="L271" s="36">
        <v>6.0</v>
      </c>
      <c r="M271" s="43" t="s">
        <v>482</v>
      </c>
      <c r="N271" s="44">
        <v>46049.0</v>
      </c>
      <c r="O271" s="36" t="s">
        <v>30</v>
      </c>
      <c r="P271" s="36" t="s">
        <v>31</v>
      </c>
      <c r="Q271" s="45"/>
      <c r="R271" s="45"/>
    </row>
    <row r="272" ht="22.5" customHeight="1">
      <c r="A272" s="32" t="s">
        <v>737</v>
      </c>
      <c r="B272" s="33" t="s">
        <v>738</v>
      </c>
      <c r="C272" s="35" t="s">
        <v>739</v>
      </c>
      <c r="D272" s="36">
        <v>6.0</v>
      </c>
      <c r="E272" s="37">
        <v>0.48</v>
      </c>
      <c r="F272" s="38">
        <v>5.883333333333333</v>
      </c>
      <c r="G272" s="39">
        <v>8.6</v>
      </c>
      <c r="H272" s="36">
        <v>5.3</v>
      </c>
      <c r="I272" s="36">
        <v>5.0</v>
      </c>
      <c r="J272" s="36">
        <v>7.8</v>
      </c>
      <c r="K272" s="36">
        <v>4.1</v>
      </c>
      <c r="L272" s="36">
        <v>4.5</v>
      </c>
      <c r="M272" s="43" t="s">
        <v>361</v>
      </c>
      <c r="N272" s="44">
        <v>46098.0</v>
      </c>
      <c r="O272" s="36" t="s">
        <v>30</v>
      </c>
      <c r="P272" s="36" t="s">
        <v>31</v>
      </c>
      <c r="Q272" s="45"/>
      <c r="R272" s="45"/>
    </row>
    <row r="273" ht="22.5" customHeight="1">
      <c r="A273" s="32" t="s">
        <v>740</v>
      </c>
      <c r="B273" s="33" t="s">
        <v>741</v>
      </c>
      <c r="C273" s="35" t="s">
        <v>553</v>
      </c>
      <c r="D273" s="36">
        <v>7.8</v>
      </c>
      <c r="E273" s="37">
        <v>1.0</v>
      </c>
      <c r="F273" s="38">
        <v>5.866666666666667</v>
      </c>
      <c r="G273" s="39">
        <v>7.7</v>
      </c>
      <c r="H273" s="36">
        <v>5.4</v>
      </c>
      <c r="I273" s="36">
        <v>5.5</v>
      </c>
      <c r="J273" s="36">
        <v>4.5</v>
      </c>
      <c r="K273" s="36">
        <v>7.6</v>
      </c>
      <c r="L273" s="36">
        <v>4.5</v>
      </c>
      <c r="M273" s="43" t="s">
        <v>742</v>
      </c>
      <c r="N273" s="44">
        <v>45861.0</v>
      </c>
      <c r="O273" s="36" t="s">
        <v>30</v>
      </c>
      <c r="P273" s="36" t="s">
        <v>31</v>
      </c>
      <c r="Q273" s="45"/>
      <c r="R273" s="45"/>
    </row>
    <row r="274" ht="22.5" customHeight="1">
      <c r="A274" s="50" t="s">
        <v>743</v>
      </c>
      <c r="B274" s="33" t="s">
        <v>744</v>
      </c>
      <c r="C274" s="35" t="s">
        <v>100</v>
      </c>
      <c r="D274" s="36">
        <v>6.7</v>
      </c>
      <c r="E274" s="37">
        <v>0.64</v>
      </c>
      <c r="F274" s="38">
        <v>5.8500000000000005</v>
      </c>
      <c r="G274" s="39">
        <v>5.6</v>
      </c>
      <c r="H274" s="36">
        <v>6.2</v>
      </c>
      <c r="I274" s="36">
        <v>5.5</v>
      </c>
      <c r="J274" s="36">
        <v>8.4</v>
      </c>
      <c r="K274" s="36">
        <v>4.6</v>
      </c>
      <c r="L274" s="36">
        <v>4.8</v>
      </c>
      <c r="M274" s="43" t="s">
        <v>228</v>
      </c>
      <c r="N274" s="44">
        <v>46204.0</v>
      </c>
      <c r="O274" s="36" t="s">
        <v>30</v>
      </c>
      <c r="P274" s="36" t="s">
        <v>31</v>
      </c>
      <c r="Q274" s="45"/>
      <c r="R274" s="45"/>
    </row>
    <row r="275" ht="22.5" customHeight="1">
      <c r="A275" s="36" t="s">
        <v>745</v>
      </c>
      <c r="B275" s="33" t="s">
        <v>746</v>
      </c>
      <c r="C275" s="35" t="s">
        <v>166</v>
      </c>
      <c r="D275" s="36">
        <v>6.7</v>
      </c>
      <c r="E275" s="37">
        <v>0.88</v>
      </c>
      <c r="F275" s="38">
        <v>5.833333333333335</v>
      </c>
      <c r="G275" s="39">
        <v>6.6</v>
      </c>
      <c r="H275" s="36">
        <v>5.5</v>
      </c>
      <c r="I275" s="36">
        <v>5.0</v>
      </c>
      <c r="J275" s="36">
        <v>5.6</v>
      </c>
      <c r="K275" s="36">
        <v>5.6</v>
      </c>
      <c r="L275" s="36">
        <v>6.7</v>
      </c>
      <c r="M275" s="43" t="s">
        <v>126</v>
      </c>
      <c r="N275" s="44">
        <v>45646.0</v>
      </c>
      <c r="O275" s="36" t="s">
        <v>30</v>
      </c>
      <c r="P275" s="36" t="s">
        <v>31</v>
      </c>
      <c r="Q275" s="45"/>
      <c r="R275" s="45"/>
    </row>
    <row r="276" ht="22.5" customHeight="1">
      <c r="A276" s="32" t="s">
        <v>747</v>
      </c>
      <c r="B276" s="33" t="s">
        <v>748</v>
      </c>
      <c r="C276" s="35" t="s">
        <v>49</v>
      </c>
      <c r="D276" s="36">
        <v>5.5</v>
      </c>
      <c r="E276" s="37">
        <v>0.83</v>
      </c>
      <c r="F276" s="38">
        <v>5.833333333333333</v>
      </c>
      <c r="G276" s="39">
        <v>7.5</v>
      </c>
      <c r="H276" s="36">
        <v>6.4</v>
      </c>
      <c r="I276" s="36">
        <v>5.4</v>
      </c>
      <c r="J276" s="36">
        <v>6.5</v>
      </c>
      <c r="K276" s="36">
        <v>3.5</v>
      </c>
      <c r="L276" s="36">
        <v>5.7</v>
      </c>
      <c r="M276" s="43" t="s">
        <v>207</v>
      </c>
      <c r="N276" s="44">
        <v>46177.0</v>
      </c>
      <c r="O276" s="36" t="s">
        <v>30</v>
      </c>
      <c r="P276" s="36" t="s">
        <v>31</v>
      </c>
      <c r="Q276" s="45"/>
      <c r="R276" s="45"/>
    </row>
    <row r="277" ht="22.5" customHeight="1">
      <c r="A277" s="32" t="s">
        <v>749</v>
      </c>
      <c r="B277" s="33" t="s">
        <v>750</v>
      </c>
      <c r="C277" s="35" t="s">
        <v>751</v>
      </c>
      <c r="D277" s="36">
        <v>6.2</v>
      </c>
      <c r="E277" s="37">
        <v>0.45</v>
      </c>
      <c r="F277" s="38">
        <v>5.783333333333334</v>
      </c>
      <c r="G277" s="39">
        <v>5.6</v>
      </c>
      <c r="H277" s="36">
        <v>6.5</v>
      </c>
      <c r="I277" s="36">
        <v>6.0</v>
      </c>
      <c r="J277" s="36">
        <v>5.8</v>
      </c>
      <c r="K277" s="36">
        <v>5.3</v>
      </c>
      <c r="L277" s="36">
        <v>5.5</v>
      </c>
      <c r="M277" s="43" t="s">
        <v>126</v>
      </c>
      <c r="N277" s="44">
        <v>46235.0</v>
      </c>
      <c r="O277" s="36" t="s">
        <v>30</v>
      </c>
      <c r="P277" s="36" t="s">
        <v>31</v>
      </c>
      <c r="Q277" s="45"/>
      <c r="R277" s="45"/>
    </row>
    <row r="278" ht="22.5" customHeight="1">
      <c r="A278" s="32" t="s">
        <v>752</v>
      </c>
      <c r="B278" s="33" t="s">
        <v>753</v>
      </c>
      <c r="C278" s="35" t="s">
        <v>100</v>
      </c>
      <c r="D278" s="36">
        <v>5.7</v>
      </c>
      <c r="E278" s="37">
        <v>0.35</v>
      </c>
      <c r="F278" s="38">
        <v>5.75</v>
      </c>
      <c r="G278" s="39">
        <v>5.7</v>
      </c>
      <c r="H278" s="36">
        <v>6.8</v>
      </c>
      <c r="I278" s="36">
        <v>5.8</v>
      </c>
      <c r="J278" s="36">
        <v>6.5</v>
      </c>
      <c r="K278" s="36">
        <v>4.5</v>
      </c>
      <c r="L278" s="36">
        <v>5.2</v>
      </c>
      <c r="M278" s="43" t="s">
        <v>216</v>
      </c>
      <c r="N278" s="44">
        <v>45861.0</v>
      </c>
      <c r="O278" s="36" t="s">
        <v>30</v>
      </c>
      <c r="P278" s="36" t="s">
        <v>31</v>
      </c>
      <c r="Q278" s="45"/>
      <c r="R278" s="45"/>
    </row>
    <row r="279" ht="22.5" customHeight="1">
      <c r="A279" s="32" t="s">
        <v>754</v>
      </c>
      <c r="B279" s="33" t="s">
        <v>755</v>
      </c>
      <c r="C279" s="35" t="s">
        <v>166</v>
      </c>
      <c r="D279" s="36">
        <v>5.7</v>
      </c>
      <c r="E279" s="37"/>
      <c r="F279" s="38">
        <v>5.733333333333333</v>
      </c>
      <c r="G279" s="39">
        <v>6.1</v>
      </c>
      <c r="H279" s="36">
        <v>5.5</v>
      </c>
      <c r="I279" s="36">
        <v>5.0</v>
      </c>
      <c r="J279" s="36">
        <v>5.2</v>
      </c>
      <c r="K279" s="36">
        <v>6.3</v>
      </c>
      <c r="L279" s="36">
        <v>6.3</v>
      </c>
      <c r="M279" s="43" t="s">
        <v>334</v>
      </c>
      <c r="N279" s="44">
        <v>46057.0</v>
      </c>
      <c r="O279" s="36" t="s">
        <v>30</v>
      </c>
      <c r="P279" s="36" t="s">
        <v>31</v>
      </c>
      <c r="Q279" s="45"/>
      <c r="R279" s="45"/>
    </row>
    <row r="280" ht="22.5" customHeight="1">
      <c r="A280" s="32" t="s">
        <v>756</v>
      </c>
      <c r="B280" s="35" t="s">
        <v>757</v>
      </c>
      <c r="C280" s="35" t="s">
        <v>80</v>
      </c>
      <c r="D280" s="36">
        <v>5.9</v>
      </c>
      <c r="E280" s="37"/>
      <c r="F280" s="38">
        <v>5.733333333333333</v>
      </c>
      <c r="G280" s="39">
        <v>5.6</v>
      </c>
      <c r="H280" s="36">
        <v>5.1</v>
      </c>
      <c r="I280" s="36">
        <v>5.0</v>
      </c>
      <c r="J280" s="36">
        <v>6.3</v>
      </c>
      <c r="K280" s="36">
        <v>6.0</v>
      </c>
      <c r="L280" s="36">
        <v>6.4</v>
      </c>
      <c r="M280" s="43" t="s">
        <v>216</v>
      </c>
      <c r="N280" s="44">
        <v>46194.0</v>
      </c>
      <c r="O280" s="36" t="s">
        <v>30</v>
      </c>
      <c r="P280" s="36" t="s">
        <v>31</v>
      </c>
      <c r="Q280" s="45"/>
      <c r="R280" s="45"/>
    </row>
    <row r="281" ht="22.5" customHeight="1">
      <c r="A281" s="36" t="s">
        <v>758</v>
      </c>
      <c r="B281" s="33" t="s">
        <v>759</v>
      </c>
      <c r="C281" s="35" t="s">
        <v>41</v>
      </c>
      <c r="D281" s="36">
        <v>5.2</v>
      </c>
      <c r="E281" s="37">
        <v>0.17</v>
      </c>
      <c r="F281" s="38">
        <v>5.6499999999999995</v>
      </c>
      <c r="G281" s="39">
        <v>5.6</v>
      </c>
      <c r="H281" s="36">
        <v>6.2</v>
      </c>
      <c r="I281" s="36">
        <v>5.1</v>
      </c>
      <c r="J281" s="36">
        <v>5.5</v>
      </c>
      <c r="K281" s="36">
        <v>5.4</v>
      </c>
      <c r="L281" s="36">
        <v>6.1</v>
      </c>
      <c r="M281" s="43" t="s">
        <v>490</v>
      </c>
      <c r="N281" s="44">
        <v>45890.0</v>
      </c>
      <c r="O281" s="50" t="s">
        <v>30</v>
      </c>
      <c r="P281" s="36" t="s">
        <v>31</v>
      </c>
      <c r="Q281" s="45"/>
      <c r="R281" s="45"/>
    </row>
    <row r="282" ht="22.5" customHeight="1">
      <c r="A282" s="32" t="s">
        <v>760</v>
      </c>
      <c r="B282" s="33" t="s">
        <v>761</v>
      </c>
      <c r="C282" s="35" t="s">
        <v>574</v>
      </c>
      <c r="D282" s="36">
        <v>7.2</v>
      </c>
      <c r="E282" s="37">
        <v>0.88</v>
      </c>
      <c r="F282" s="38">
        <v>5.6000000000000005</v>
      </c>
      <c r="G282" s="39">
        <v>5.3</v>
      </c>
      <c r="H282" s="36">
        <v>5.8</v>
      </c>
      <c r="I282" s="36">
        <v>5.0</v>
      </c>
      <c r="J282" s="36">
        <v>8.6</v>
      </c>
      <c r="K282" s="36">
        <v>4.5</v>
      </c>
      <c r="L282" s="36">
        <v>4.4</v>
      </c>
      <c r="M282" s="43" t="s">
        <v>50</v>
      </c>
      <c r="N282" s="44">
        <v>45925.0</v>
      </c>
      <c r="O282" s="50" t="s">
        <v>30</v>
      </c>
      <c r="P282" s="36" t="s">
        <v>31</v>
      </c>
      <c r="Q282" s="45"/>
      <c r="R282" s="45"/>
    </row>
    <row r="283" ht="22.5" customHeight="1">
      <c r="A283" s="32" t="s">
        <v>762</v>
      </c>
      <c r="B283" s="33" t="s">
        <v>763</v>
      </c>
      <c r="C283" s="35" t="s">
        <v>355</v>
      </c>
      <c r="D283" s="36">
        <v>6.5</v>
      </c>
      <c r="E283" s="37">
        <v>0.49</v>
      </c>
      <c r="F283" s="38">
        <v>5.583333333333333</v>
      </c>
      <c r="G283" s="39">
        <v>5.6</v>
      </c>
      <c r="H283" s="36">
        <v>5.7</v>
      </c>
      <c r="I283" s="36">
        <v>5.2</v>
      </c>
      <c r="J283" s="36">
        <v>5.0</v>
      </c>
      <c r="K283" s="36">
        <v>6.0</v>
      </c>
      <c r="L283" s="36">
        <v>6.0</v>
      </c>
      <c r="M283" s="43" t="s">
        <v>54</v>
      </c>
      <c r="N283" s="44">
        <v>46043.0</v>
      </c>
      <c r="O283" s="50" t="s">
        <v>30</v>
      </c>
      <c r="P283" s="36" t="s">
        <v>31</v>
      </c>
      <c r="Q283" s="45"/>
      <c r="R283" s="45"/>
    </row>
    <row r="284" ht="22.5" customHeight="1">
      <c r="A284" s="32" t="s">
        <v>764</v>
      </c>
      <c r="B284" s="35" t="s">
        <v>765</v>
      </c>
      <c r="C284" s="35" t="s">
        <v>378</v>
      </c>
      <c r="D284" s="36">
        <v>5.4</v>
      </c>
      <c r="E284" s="37">
        <v>0.24</v>
      </c>
      <c r="F284" s="38">
        <v>5.533333333333334</v>
      </c>
      <c r="G284" s="39">
        <v>6.1</v>
      </c>
      <c r="H284" s="36">
        <v>4.9</v>
      </c>
      <c r="I284" s="36">
        <v>5.1</v>
      </c>
      <c r="J284" s="36">
        <v>5.2</v>
      </c>
      <c r="K284" s="36">
        <v>5.4</v>
      </c>
      <c r="L284" s="36">
        <v>6.5</v>
      </c>
      <c r="M284" s="43" t="s">
        <v>732</v>
      </c>
      <c r="N284" s="44">
        <v>45944.0</v>
      </c>
      <c r="O284" s="50" t="s">
        <v>30</v>
      </c>
      <c r="P284" s="36" t="s">
        <v>31</v>
      </c>
      <c r="Q284" s="45"/>
      <c r="R284" s="45"/>
    </row>
    <row r="285" ht="22.5" customHeight="1">
      <c r="A285" s="36" t="s">
        <v>766</v>
      </c>
      <c r="B285" s="33" t="s">
        <v>767</v>
      </c>
      <c r="C285" s="35" t="s">
        <v>768</v>
      </c>
      <c r="D285" s="36">
        <v>4.4</v>
      </c>
      <c r="E285" s="37">
        <v>0.77</v>
      </c>
      <c r="F285" s="38">
        <v>5.533333333333334</v>
      </c>
      <c r="G285" s="39">
        <v>5.5</v>
      </c>
      <c r="H285" s="36">
        <v>3.5</v>
      </c>
      <c r="I285" s="36">
        <v>7.0</v>
      </c>
      <c r="J285" s="36">
        <v>7.1</v>
      </c>
      <c r="K285" s="36">
        <v>5.0</v>
      </c>
      <c r="L285" s="36">
        <v>5.1</v>
      </c>
      <c r="M285" s="43" t="s">
        <v>769</v>
      </c>
      <c r="N285" s="44">
        <v>45968.0</v>
      </c>
      <c r="O285" s="50" t="s">
        <v>93</v>
      </c>
      <c r="P285" s="36" t="s">
        <v>31</v>
      </c>
      <c r="Q285" s="45"/>
      <c r="R285" s="45"/>
    </row>
    <row r="286" ht="22.5" customHeight="1">
      <c r="A286" s="32" t="s">
        <v>770</v>
      </c>
      <c r="B286" s="33" t="s">
        <v>771</v>
      </c>
      <c r="C286" s="35" t="s">
        <v>685</v>
      </c>
      <c r="D286" s="36">
        <v>6.5</v>
      </c>
      <c r="E286" s="37">
        <v>0.31</v>
      </c>
      <c r="F286" s="38">
        <v>5.516666666666666</v>
      </c>
      <c r="G286" s="39">
        <v>5.7</v>
      </c>
      <c r="H286" s="36">
        <v>5.6</v>
      </c>
      <c r="I286" s="36">
        <v>5.1</v>
      </c>
      <c r="J286" s="36">
        <v>5.2</v>
      </c>
      <c r="K286" s="36">
        <v>5.5</v>
      </c>
      <c r="L286" s="36">
        <v>6.0</v>
      </c>
      <c r="M286" s="43" t="s">
        <v>467</v>
      </c>
      <c r="N286" s="44">
        <v>46141.0</v>
      </c>
      <c r="O286" s="50" t="s">
        <v>30</v>
      </c>
      <c r="P286" s="36" t="s">
        <v>31</v>
      </c>
      <c r="Q286" s="45"/>
      <c r="R286" s="45"/>
    </row>
    <row r="287" ht="22.5" customHeight="1">
      <c r="A287" s="32" t="s">
        <v>772</v>
      </c>
      <c r="B287" s="35" t="s">
        <v>773</v>
      </c>
      <c r="C287" s="35" t="s">
        <v>166</v>
      </c>
      <c r="D287" s="36">
        <v>4.9</v>
      </c>
      <c r="E287" s="37">
        <v>0.0</v>
      </c>
      <c r="F287" s="38">
        <v>5.5</v>
      </c>
      <c r="G287" s="39">
        <v>6.0</v>
      </c>
      <c r="H287" s="36">
        <v>5.5</v>
      </c>
      <c r="I287" s="36">
        <v>5.0</v>
      </c>
      <c r="J287" s="36">
        <v>5.5</v>
      </c>
      <c r="K287" s="36">
        <v>5.0</v>
      </c>
      <c r="L287" s="36">
        <v>6.0</v>
      </c>
      <c r="M287" s="43" t="s">
        <v>54</v>
      </c>
      <c r="N287" s="44">
        <v>45874.0</v>
      </c>
      <c r="O287" s="36" t="s">
        <v>30</v>
      </c>
      <c r="P287" s="36" t="s">
        <v>31</v>
      </c>
      <c r="Q287" s="45"/>
      <c r="R287" s="45"/>
    </row>
    <row r="288" ht="22.5" customHeight="1">
      <c r="A288" s="32" t="s">
        <v>774</v>
      </c>
      <c r="B288" s="35" t="s">
        <v>775</v>
      </c>
      <c r="C288" s="35" t="s">
        <v>330</v>
      </c>
      <c r="D288" s="36">
        <v>6.6</v>
      </c>
      <c r="E288" s="37">
        <v>0.5</v>
      </c>
      <c r="F288" s="38">
        <v>5.466666666666666</v>
      </c>
      <c r="G288" s="39">
        <v>5.4</v>
      </c>
      <c r="H288" s="36">
        <v>5.9</v>
      </c>
      <c r="I288" s="36">
        <v>6.0</v>
      </c>
      <c r="J288" s="36">
        <v>5.3</v>
      </c>
      <c r="K288" s="36">
        <v>5.7</v>
      </c>
      <c r="L288" s="36">
        <v>4.5</v>
      </c>
      <c r="M288" s="43" t="s">
        <v>213</v>
      </c>
      <c r="N288" s="44">
        <v>46245.0</v>
      </c>
      <c r="O288" s="50" t="s">
        <v>30</v>
      </c>
      <c r="P288" s="36" t="s">
        <v>31</v>
      </c>
      <c r="Q288" s="45"/>
      <c r="R288" s="45"/>
    </row>
    <row r="289" ht="22.5" customHeight="1">
      <c r="A289" s="32" t="s">
        <v>776</v>
      </c>
      <c r="B289" s="33" t="s">
        <v>777</v>
      </c>
      <c r="C289" s="35" t="s">
        <v>453</v>
      </c>
      <c r="D289" s="36">
        <v>6.8</v>
      </c>
      <c r="E289" s="37">
        <v>0.43</v>
      </c>
      <c r="F289" s="38">
        <v>5.3999999999999995</v>
      </c>
      <c r="G289" s="39">
        <v>3.6</v>
      </c>
      <c r="H289" s="36">
        <v>5.4</v>
      </c>
      <c r="I289" s="36">
        <v>6.0</v>
      </c>
      <c r="J289" s="36">
        <v>6.0</v>
      </c>
      <c r="K289" s="36">
        <v>6.2</v>
      </c>
      <c r="L289" s="36">
        <v>5.2</v>
      </c>
      <c r="M289" s="43" t="s">
        <v>264</v>
      </c>
      <c r="N289" s="44">
        <v>45820.0</v>
      </c>
      <c r="O289" s="36" t="s">
        <v>30</v>
      </c>
      <c r="P289" s="36" t="s">
        <v>31</v>
      </c>
      <c r="Q289" s="45"/>
      <c r="R289" s="45"/>
    </row>
    <row r="290" ht="22.5" customHeight="1">
      <c r="A290" s="50" t="s">
        <v>778</v>
      </c>
      <c r="B290" s="33" t="s">
        <v>458</v>
      </c>
      <c r="C290" s="35"/>
      <c r="D290" s="36"/>
      <c r="E290" s="37"/>
      <c r="F290" s="38">
        <v>5.3500000000000005</v>
      </c>
      <c r="G290" s="39">
        <v>5.5</v>
      </c>
      <c r="H290" s="36">
        <v>4.8</v>
      </c>
      <c r="I290" s="36">
        <v>6.2</v>
      </c>
      <c r="J290" s="36">
        <v>4.5</v>
      </c>
      <c r="K290" s="36">
        <v>6.1</v>
      </c>
      <c r="L290" s="36">
        <v>5.0</v>
      </c>
      <c r="M290" s="43"/>
      <c r="N290" s="44">
        <v>45726.0</v>
      </c>
      <c r="O290" s="50" t="s">
        <v>30</v>
      </c>
      <c r="P290" s="36" t="s">
        <v>31</v>
      </c>
      <c r="Q290" s="45"/>
      <c r="R290" s="45"/>
    </row>
    <row r="291" ht="22.5" customHeight="1">
      <c r="A291" s="36" t="s">
        <v>779</v>
      </c>
      <c r="B291" s="33" t="s">
        <v>780</v>
      </c>
      <c r="C291" s="35" t="s">
        <v>307</v>
      </c>
      <c r="D291" s="36">
        <v>5.2</v>
      </c>
      <c r="E291" s="37">
        <v>0.16</v>
      </c>
      <c r="F291" s="38">
        <v>5.283333333333332</v>
      </c>
      <c r="G291" s="39">
        <v>5.3</v>
      </c>
      <c r="H291" s="36">
        <v>4.6</v>
      </c>
      <c r="I291" s="36">
        <v>5.5</v>
      </c>
      <c r="J291" s="36">
        <v>6.4</v>
      </c>
      <c r="K291" s="36">
        <v>4.3</v>
      </c>
      <c r="L291" s="36">
        <v>5.6</v>
      </c>
      <c r="M291" s="43" t="s">
        <v>235</v>
      </c>
      <c r="N291" s="44">
        <v>46082.0</v>
      </c>
      <c r="O291" s="50" t="s">
        <v>30</v>
      </c>
      <c r="P291" s="36" t="s">
        <v>31</v>
      </c>
      <c r="Q291" s="45"/>
      <c r="R291" s="45"/>
    </row>
    <row r="292" ht="22.5" customHeight="1">
      <c r="A292" s="32" t="s">
        <v>781</v>
      </c>
      <c r="B292" s="33" t="s">
        <v>782</v>
      </c>
      <c r="C292" s="35" t="s">
        <v>630</v>
      </c>
      <c r="D292" s="36">
        <v>5.1</v>
      </c>
      <c r="E292" s="37">
        <v>0.28</v>
      </c>
      <c r="F292" s="38">
        <v>5.249999999999999</v>
      </c>
      <c r="G292" s="39">
        <v>5.3</v>
      </c>
      <c r="H292" s="36">
        <v>4.5</v>
      </c>
      <c r="I292" s="36">
        <v>5.2</v>
      </c>
      <c r="J292" s="36">
        <v>6.4</v>
      </c>
      <c r="K292" s="36">
        <v>4.4</v>
      </c>
      <c r="L292" s="36">
        <v>5.7</v>
      </c>
      <c r="M292" s="43" t="s">
        <v>783</v>
      </c>
      <c r="N292" s="44">
        <v>46159.0</v>
      </c>
      <c r="O292" s="50" t="s">
        <v>30</v>
      </c>
      <c r="P292" s="36" t="s">
        <v>31</v>
      </c>
      <c r="Q292" s="45"/>
      <c r="R292" s="45"/>
    </row>
    <row r="293" ht="22.5" customHeight="1">
      <c r="A293" s="32" t="s">
        <v>784</v>
      </c>
      <c r="B293" s="33" t="s">
        <v>785</v>
      </c>
      <c r="C293" s="35" t="s">
        <v>786</v>
      </c>
      <c r="D293" s="36">
        <v>5.9</v>
      </c>
      <c r="E293" s="37">
        <v>0.31</v>
      </c>
      <c r="F293" s="38">
        <v>5.216666666666666</v>
      </c>
      <c r="G293" s="39">
        <v>4.5</v>
      </c>
      <c r="H293" s="36">
        <v>7.1</v>
      </c>
      <c r="I293" s="36">
        <v>6.2</v>
      </c>
      <c r="J293" s="36">
        <v>5.6</v>
      </c>
      <c r="K293" s="36">
        <v>4.4</v>
      </c>
      <c r="L293" s="36">
        <v>3.5</v>
      </c>
      <c r="M293" s="43" t="s">
        <v>54</v>
      </c>
      <c r="N293" s="44">
        <v>45908.0</v>
      </c>
      <c r="O293" s="36" t="s">
        <v>30</v>
      </c>
      <c r="P293" s="36" t="s">
        <v>31</v>
      </c>
      <c r="Q293" s="45"/>
      <c r="R293" s="45"/>
    </row>
    <row r="294" ht="22.5" customHeight="1">
      <c r="A294" s="32" t="s">
        <v>787</v>
      </c>
      <c r="B294" s="33" t="s">
        <v>788</v>
      </c>
      <c r="C294" s="35" t="s">
        <v>166</v>
      </c>
      <c r="D294" s="36">
        <v>5.6</v>
      </c>
      <c r="E294" s="37">
        <v>0.13</v>
      </c>
      <c r="F294" s="38">
        <v>5.166666666666667</v>
      </c>
      <c r="G294" s="39">
        <v>5.7</v>
      </c>
      <c r="H294" s="36">
        <v>5.2</v>
      </c>
      <c r="I294" s="36">
        <v>4.4</v>
      </c>
      <c r="J294" s="36">
        <v>5.2</v>
      </c>
      <c r="K294" s="36">
        <v>5.2</v>
      </c>
      <c r="L294" s="36">
        <v>5.3</v>
      </c>
      <c r="M294" s="43" t="s">
        <v>732</v>
      </c>
      <c r="N294" s="44">
        <v>46121.0</v>
      </c>
      <c r="O294" s="50" t="s">
        <v>30</v>
      </c>
      <c r="P294" s="36" t="s">
        <v>31</v>
      </c>
      <c r="Q294" s="45"/>
      <c r="R294" s="45"/>
    </row>
    <row r="295" ht="22.5" customHeight="1">
      <c r="A295" s="32" t="s">
        <v>789</v>
      </c>
      <c r="B295" s="33" t="s">
        <v>790</v>
      </c>
      <c r="C295" s="35" t="s">
        <v>307</v>
      </c>
      <c r="D295" s="36">
        <v>5.4</v>
      </c>
      <c r="E295" s="37">
        <v>0.33</v>
      </c>
      <c r="F295" s="38">
        <v>5.116666666666667</v>
      </c>
      <c r="G295" s="39">
        <v>5.3</v>
      </c>
      <c r="H295" s="36">
        <v>4.5</v>
      </c>
      <c r="I295" s="36">
        <v>5.5</v>
      </c>
      <c r="J295" s="36">
        <v>6.8</v>
      </c>
      <c r="K295" s="36">
        <v>4.0</v>
      </c>
      <c r="L295" s="36">
        <v>4.6</v>
      </c>
      <c r="M295" s="43" t="s">
        <v>337</v>
      </c>
      <c r="N295" s="44">
        <v>45789.0</v>
      </c>
      <c r="O295" s="36" t="s">
        <v>30</v>
      </c>
      <c r="P295" s="36" t="s">
        <v>31</v>
      </c>
      <c r="Q295" s="45"/>
      <c r="R295" s="45"/>
    </row>
    <row r="296" ht="22.5" customHeight="1">
      <c r="A296" s="32" t="s">
        <v>791</v>
      </c>
      <c r="B296" s="33" t="s">
        <v>792</v>
      </c>
      <c r="C296" s="35" t="s">
        <v>283</v>
      </c>
      <c r="D296" s="36">
        <v>5.7</v>
      </c>
      <c r="E296" s="37">
        <v>0.42</v>
      </c>
      <c r="F296" s="38">
        <v>5.033333333333333</v>
      </c>
      <c r="G296" s="39">
        <v>6.5</v>
      </c>
      <c r="H296" s="36">
        <v>6.5</v>
      </c>
      <c r="I296" s="64">
        <v>5.0</v>
      </c>
      <c r="J296" s="36">
        <v>4.5</v>
      </c>
      <c r="K296" s="36">
        <v>3.7</v>
      </c>
      <c r="L296" s="36">
        <v>4.0</v>
      </c>
      <c r="M296" s="43" t="s">
        <v>58</v>
      </c>
      <c r="N296" s="44">
        <v>45646.0</v>
      </c>
      <c r="O296" s="50" t="s">
        <v>30</v>
      </c>
      <c r="P296" s="36" t="s">
        <v>31</v>
      </c>
      <c r="Q296" s="45"/>
      <c r="R296" s="45"/>
    </row>
    <row r="297" ht="22.5" customHeight="1">
      <c r="A297" s="32" t="s">
        <v>793</v>
      </c>
      <c r="B297" s="33" t="s">
        <v>794</v>
      </c>
      <c r="C297" s="35" t="s">
        <v>41</v>
      </c>
      <c r="D297" s="36">
        <v>5.2</v>
      </c>
      <c r="E297" s="37">
        <v>0.35</v>
      </c>
      <c r="F297" s="38">
        <v>4.966666666666666</v>
      </c>
      <c r="G297" s="39">
        <v>6.4</v>
      </c>
      <c r="H297" s="36">
        <v>6.1</v>
      </c>
      <c r="I297" s="36">
        <v>5.0</v>
      </c>
      <c r="J297" s="36">
        <v>4.2</v>
      </c>
      <c r="K297" s="36">
        <v>3.5</v>
      </c>
      <c r="L297" s="36">
        <v>4.6</v>
      </c>
      <c r="M297" s="43" t="s">
        <v>46</v>
      </c>
      <c r="N297" s="44">
        <v>45646.0</v>
      </c>
      <c r="O297" s="50" t="s">
        <v>30</v>
      </c>
      <c r="P297" s="36" t="s">
        <v>31</v>
      </c>
      <c r="Q297" s="45"/>
      <c r="R297" s="45"/>
    </row>
    <row r="298" ht="22.5" customHeight="1">
      <c r="A298" s="32" t="s">
        <v>795</v>
      </c>
      <c r="B298" s="33" t="s">
        <v>796</v>
      </c>
      <c r="C298" s="35" t="s">
        <v>797</v>
      </c>
      <c r="D298" s="36">
        <v>3.7</v>
      </c>
      <c r="E298" s="37"/>
      <c r="F298" s="38">
        <v>4.916666666666667</v>
      </c>
      <c r="G298" s="39">
        <v>6.1</v>
      </c>
      <c r="H298" s="36">
        <v>4.5</v>
      </c>
      <c r="I298" s="36">
        <v>5.0</v>
      </c>
      <c r="J298" s="36">
        <v>4.4</v>
      </c>
      <c r="K298" s="36">
        <v>4.7</v>
      </c>
      <c r="L298" s="36">
        <v>4.8</v>
      </c>
      <c r="M298" s="43" t="s">
        <v>299</v>
      </c>
      <c r="N298" s="44">
        <v>46010.0</v>
      </c>
      <c r="O298" s="50" t="s">
        <v>30</v>
      </c>
      <c r="P298" s="36" t="s">
        <v>31</v>
      </c>
      <c r="Q298" s="45"/>
      <c r="R298" s="45"/>
    </row>
    <row r="299" ht="22.5" customHeight="1">
      <c r="A299" s="32" t="s">
        <v>798</v>
      </c>
      <c r="B299" s="33" t="s">
        <v>799</v>
      </c>
      <c r="C299" s="35" t="s">
        <v>41</v>
      </c>
      <c r="D299" s="36">
        <v>6.5</v>
      </c>
      <c r="E299" s="37">
        <v>0.53</v>
      </c>
      <c r="F299" s="38">
        <v>4.816666666666667</v>
      </c>
      <c r="G299" s="39">
        <v>4.0</v>
      </c>
      <c r="H299" s="36">
        <v>4.2</v>
      </c>
      <c r="I299" s="36">
        <v>5.0</v>
      </c>
      <c r="J299" s="36">
        <v>7.9</v>
      </c>
      <c r="K299" s="36">
        <v>4.3</v>
      </c>
      <c r="L299" s="36">
        <v>3.5</v>
      </c>
      <c r="M299" s="43" t="s">
        <v>54</v>
      </c>
      <c r="N299" s="44">
        <v>46012.0</v>
      </c>
      <c r="O299" s="50" t="s">
        <v>30</v>
      </c>
      <c r="P299" s="36" t="s">
        <v>31</v>
      </c>
      <c r="Q299" s="45"/>
      <c r="R299" s="45"/>
    </row>
    <row r="300" ht="22.5" customHeight="1">
      <c r="A300" s="32" t="s">
        <v>800</v>
      </c>
      <c r="B300" s="33" t="s">
        <v>801</v>
      </c>
      <c r="C300" s="35" t="s">
        <v>516</v>
      </c>
      <c r="D300" s="36">
        <v>5.1</v>
      </c>
      <c r="E300" s="37">
        <v>0.15</v>
      </c>
      <c r="F300" s="38">
        <v>4.816666666666666</v>
      </c>
      <c r="G300" s="39">
        <v>5.6</v>
      </c>
      <c r="H300" s="36">
        <v>4.3</v>
      </c>
      <c r="I300" s="36">
        <v>5.0</v>
      </c>
      <c r="J300" s="36">
        <v>5.4</v>
      </c>
      <c r="K300" s="36">
        <v>4.1</v>
      </c>
      <c r="L300" s="36">
        <v>4.5</v>
      </c>
      <c r="M300" s="43" t="s">
        <v>235</v>
      </c>
      <c r="N300" s="44">
        <v>45670.0</v>
      </c>
      <c r="O300" s="36" t="s">
        <v>30</v>
      </c>
      <c r="P300" s="36" t="s">
        <v>31</v>
      </c>
      <c r="Q300" s="45"/>
      <c r="R300" s="45"/>
    </row>
    <row r="301" ht="22.5" customHeight="1">
      <c r="A301" s="36" t="s">
        <v>802</v>
      </c>
      <c r="B301" s="33" t="s">
        <v>803</v>
      </c>
      <c r="C301" s="35" t="s">
        <v>296</v>
      </c>
      <c r="D301" s="36">
        <v>5.5</v>
      </c>
      <c r="E301" s="37">
        <v>0.22</v>
      </c>
      <c r="F301" s="38">
        <v>4.766666666666667</v>
      </c>
      <c r="G301" s="39">
        <v>7.4</v>
      </c>
      <c r="H301" s="36">
        <v>4.3</v>
      </c>
      <c r="I301" s="36">
        <v>4.7</v>
      </c>
      <c r="J301" s="36">
        <v>6.1</v>
      </c>
      <c r="K301" s="36">
        <v>3.5</v>
      </c>
      <c r="L301" s="36">
        <v>2.6</v>
      </c>
      <c r="M301" s="43" t="s">
        <v>126</v>
      </c>
      <c r="N301" s="44">
        <v>46237.0</v>
      </c>
      <c r="O301" s="50" t="s">
        <v>30</v>
      </c>
      <c r="P301" s="36" t="s">
        <v>31</v>
      </c>
      <c r="Q301" s="45"/>
      <c r="R301" s="45"/>
    </row>
    <row r="302" ht="22.5" customHeight="1">
      <c r="A302" s="32" t="s">
        <v>804</v>
      </c>
      <c r="B302" s="33" t="s">
        <v>805</v>
      </c>
      <c r="C302" s="35" t="s">
        <v>355</v>
      </c>
      <c r="D302" s="36">
        <v>4.1</v>
      </c>
      <c r="E302" s="37">
        <v>0.1</v>
      </c>
      <c r="F302" s="38">
        <v>4.6000000000000005</v>
      </c>
      <c r="G302" s="39">
        <v>5.2</v>
      </c>
      <c r="H302" s="36">
        <v>4.1</v>
      </c>
      <c r="I302" s="36">
        <v>5.0</v>
      </c>
      <c r="J302" s="36">
        <v>5.7</v>
      </c>
      <c r="K302" s="36">
        <v>3.5</v>
      </c>
      <c r="L302" s="36">
        <v>4.1</v>
      </c>
      <c r="M302" s="43" t="s">
        <v>228</v>
      </c>
      <c r="N302" s="44">
        <v>45874.0</v>
      </c>
      <c r="O302" s="50" t="s">
        <v>30</v>
      </c>
      <c r="P302" s="36" t="s">
        <v>31</v>
      </c>
      <c r="Q302" s="45"/>
      <c r="R302" s="45"/>
    </row>
    <row r="303" ht="22.5" customHeight="1">
      <c r="A303" s="32" t="s">
        <v>806</v>
      </c>
      <c r="B303" s="33" t="s">
        <v>807</v>
      </c>
      <c r="C303" s="35" t="s">
        <v>41</v>
      </c>
      <c r="D303" s="36">
        <v>5.5</v>
      </c>
      <c r="E303" s="37">
        <v>0.63</v>
      </c>
      <c r="F303" s="38">
        <v>4.45</v>
      </c>
      <c r="G303" s="39">
        <v>4.5</v>
      </c>
      <c r="H303" s="36">
        <v>5.0</v>
      </c>
      <c r="I303" s="36">
        <v>5.0</v>
      </c>
      <c r="J303" s="36">
        <v>4.5</v>
      </c>
      <c r="K303" s="36">
        <v>3.5</v>
      </c>
      <c r="L303" s="36">
        <v>4.2</v>
      </c>
      <c r="M303" s="43" t="s">
        <v>395</v>
      </c>
      <c r="N303" s="44">
        <v>45646.0</v>
      </c>
      <c r="O303" s="50" t="s">
        <v>30</v>
      </c>
      <c r="P303" s="36" t="s">
        <v>31</v>
      </c>
      <c r="Q303" s="45"/>
      <c r="R303" s="45"/>
    </row>
    <row r="304" ht="22.5" customHeight="1">
      <c r="A304" s="32" t="s">
        <v>808</v>
      </c>
      <c r="B304" s="35" t="s">
        <v>809</v>
      </c>
      <c r="C304" s="35" t="s">
        <v>166</v>
      </c>
      <c r="D304" s="36">
        <v>5.6</v>
      </c>
      <c r="E304" s="37"/>
      <c r="F304" s="38">
        <v>4.433333333333334</v>
      </c>
      <c r="G304" s="39">
        <v>4.5</v>
      </c>
      <c r="H304" s="36">
        <v>3.7</v>
      </c>
      <c r="I304" s="36">
        <v>6.1</v>
      </c>
      <c r="J304" s="36">
        <v>5.2</v>
      </c>
      <c r="K304" s="36">
        <v>3.1</v>
      </c>
      <c r="L304" s="36">
        <v>4.0</v>
      </c>
      <c r="M304" s="43" t="s">
        <v>454</v>
      </c>
      <c r="N304" s="44">
        <v>45751.0</v>
      </c>
      <c r="O304" s="36" t="s">
        <v>30</v>
      </c>
      <c r="P304" s="36" t="s">
        <v>31</v>
      </c>
      <c r="Q304" s="45"/>
      <c r="R304" s="45"/>
    </row>
    <row r="305" ht="22.5" customHeight="1">
      <c r="A305" s="36" t="s">
        <v>810</v>
      </c>
      <c r="B305" s="33" t="s">
        <v>387</v>
      </c>
      <c r="C305" s="35" t="s">
        <v>41</v>
      </c>
      <c r="D305" s="36">
        <v>5.9</v>
      </c>
      <c r="E305" s="37">
        <v>0.5</v>
      </c>
      <c r="F305" s="38">
        <v>4.416666666666667</v>
      </c>
      <c r="G305" s="39">
        <v>3.5</v>
      </c>
      <c r="H305" s="36">
        <v>4.6</v>
      </c>
      <c r="I305" s="36">
        <v>5.6</v>
      </c>
      <c r="J305" s="36">
        <v>5.4</v>
      </c>
      <c r="K305" s="36">
        <v>3.0</v>
      </c>
      <c r="L305" s="36">
        <v>4.4</v>
      </c>
      <c r="M305" s="43" t="s">
        <v>207</v>
      </c>
      <c r="N305" s="44">
        <v>45960.0</v>
      </c>
      <c r="O305" s="50" t="s">
        <v>30</v>
      </c>
      <c r="P305" s="36" t="s">
        <v>31</v>
      </c>
      <c r="Q305" s="45"/>
      <c r="R305" s="45"/>
    </row>
    <row r="306" ht="22.5" customHeight="1">
      <c r="A306" s="32" t="s">
        <v>811</v>
      </c>
      <c r="B306" s="33" t="s">
        <v>812</v>
      </c>
      <c r="C306" s="35" t="s">
        <v>80</v>
      </c>
      <c r="D306" s="36">
        <v>5.3</v>
      </c>
      <c r="E306" s="37">
        <v>0.29</v>
      </c>
      <c r="F306" s="38">
        <v>4.3500000000000005</v>
      </c>
      <c r="G306" s="39">
        <v>3.5</v>
      </c>
      <c r="H306" s="36">
        <v>5.5</v>
      </c>
      <c r="I306" s="36">
        <v>5.1</v>
      </c>
      <c r="J306" s="36">
        <v>4.5</v>
      </c>
      <c r="K306" s="36">
        <v>3.5</v>
      </c>
      <c r="L306" s="36">
        <v>4.0</v>
      </c>
      <c r="M306" s="43" t="s">
        <v>729</v>
      </c>
      <c r="N306" s="44">
        <v>45729.0</v>
      </c>
      <c r="O306" s="36" t="s">
        <v>30</v>
      </c>
      <c r="P306" s="36" t="s">
        <v>31</v>
      </c>
      <c r="Q306" s="45"/>
      <c r="R306" s="45"/>
    </row>
    <row r="307" ht="22.5" customHeight="1">
      <c r="A307" s="32" t="s">
        <v>813</v>
      </c>
      <c r="B307" s="33" t="s">
        <v>814</v>
      </c>
      <c r="C307" s="35" t="s">
        <v>439</v>
      </c>
      <c r="D307" s="36">
        <v>5.5</v>
      </c>
      <c r="E307" s="37">
        <v>0.07</v>
      </c>
      <c r="F307" s="38">
        <v>3.516666666666667</v>
      </c>
      <c r="G307" s="39">
        <v>4.4</v>
      </c>
      <c r="H307" s="36">
        <v>3.5</v>
      </c>
      <c r="I307" s="36">
        <v>2.7</v>
      </c>
      <c r="J307" s="36">
        <v>3.5</v>
      </c>
      <c r="K307" s="36">
        <v>2.5</v>
      </c>
      <c r="L307" s="36">
        <v>4.5</v>
      </c>
      <c r="M307" s="43" t="s">
        <v>454</v>
      </c>
      <c r="N307" s="44">
        <v>45626.0</v>
      </c>
      <c r="O307" s="50" t="s">
        <v>30</v>
      </c>
      <c r="P307" s="36" t="s">
        <v>31</v>
      </c>
      <c r="Q307" s="45"/>
      <c r="R307" s="45"/>
    </row>
    <row r="308" ht="22.5" customHeight="1">
      <c r="A308" s="32" t="s">
        <v>815</v>
      </c>
      <c r="B308" s="33" t="s">
        <v>816</v>
      </c>
      <c r="C308" s="35" t="s">
        <v>817</v>
      </c>
      <c r="D308" s="36">
        <v>7.2</v>
      </c>
      <c r="E308" s="37">
        <v>0.9</v>
      </c>
      <c r="F308" s="38">
        <v>3.4166666666666665</v>
      </c>
      <c r="G308" s="39">
        <v>3.4</v>
      </c>
      <c r="H308" s="36">
        <v>4.5</v>
      </c>
      <c r="I308" s="36">
        <v>4.3</v>
      </c>
      <c r="J308" s="36">
        <v>7.3</v>
      </c>
      <c r="K308" s="36">
        <v>0.5</v>
      </c>
      <c r="L308" s="36">
        <v>0.5</v>
      </c>
      <c r="M308" s="43" t="s">
        <v>742</v>
      </c>
      <c r="N308" s="44">
        <v>45989.0</v>
      </c>
      <c r="O308" s="50" t="s">
        <v>30</v>
      </c>
      <c r="P308" s="36" t="s">
        <v>31</v>
      </c>
      <c r="Q308" s="45"/>
      <c r="R308" s="45"/>
    </row>
    <row r="309" ht="22.5" customHeight="1">
      <c r="A309" s="32" t="s">
        <v>818</v>
      </c>
      <c r="B309" s="33" t="s">
        <v>819</v>
      </c>
      <c r="C309" s="35" t="s">
        <v>820</v>
      </c>
      <c r="D309" s="36">
        <v>3.8</v>
      </c>
      <c r="E309" s="37"/>
      <c r="F309" s="38">
        <v>2.733333333333333</v>
      </c>
      <c r="G309" s="39">
        <v>2.3</v>
      </c>
      <c r="H309" s="36">
        <v>3.1</v>
      </c>
      <c r="I309" s="36">
        <v>4.4</v>
      </c>
      <c r="J309" s="36">
        <v>1.1</v>
      </c>
      <c r="K309" s="36">
        <v>1.0</v>
      </c>
      <c r="L309" s="36">
        <v>4.5</v>
      </c>
      <c r="M309" s="43" t="s">
        <v>264</v>
      </c>
      <c r="N309" s="44">
        <v>45892.0</v>
      </c>
      <c r="O309" s="50" t="s">
        <v>30</v>
      </c>
      <c r="P309" s="36" t="s">
        <v>31</v>
      </c>
      <c r="Q309" s="45"/>
      <c r="R309" s="45"/>
    </row>
    <row r="310" ht="22.5" customHeight="1">
      <c r="A310" s="32" t="s">
        <v>821</v>
      </c>
      <c r="B310" s="33" t="s">
        <v>822</v>
      </c>
      <c r="C310" s="35" t="s">
        <v>823</v>
      </c>
      <c r="D310" s="36">
        <v>4.6</v>
      </c>
      <c r="E310" s="37"/>
      <c r="F310" s="38">
        <v>1.583333333333333</v>
      </c>
      <c r="G310" s="39">
        <v>0.2</v>
      </c>
      <c r="H310" s="36">
        <v>3.3</v>
      </c>
      <c r="I310" s="36">
        <v>4.5</v>
      </c>
      <c r="J310" s="36">
        <v>1.2</v>
      </c>
      <c r="K310" s="36">
        <v>0.1</v>
      </c>
      <c r="L310" s="36">
        <v>0.2</v>
      </c>
      <c r="M310" s="43" t="s">
        <v>824</v>
      </c>
      <c r="N310" s="44">
        <v>45874.0</v>
      </c>
      <c r="O310" s="36" t="s">
        <v>30</v>
      </c>
      <c r="P310" s="36" t="s">
        <v>31</v>
      </c>
      <c r="Q310" s="45"/>
      <c r="R310" s="45"/>
    </row>
    <row r="311" ht="22.5" customHeight="1">
      <c r="A311" s="32" t="s">
        <v>825</v>
      </c>
      <c r="B311" s="33" t="s">
        <v>826</v>
      </c>
      <c r="C311" s="35" t="s">
        <v>827</v>
      </c>
      <c r="D311" s="36">
        <v>2.5</v>
      </c>
      <c r="E311" s="37">
        <v>0.04</v>
      </c>
      <c r="F311" s="38">
        <v>0.75</v>
      </c>
      <c r="G311" s="39">
        <v>2.9</v>
      </c>
      <c r="H311" s="36">
        <v>0.5</v>
      </c>
      <c r="I311" s="36">
        <v>0.0</v>
      </c>
      <c r="J311" s="36">
        <v>0.5</v>
      </c>
      <c r="K311" s="36">
        <v>0.5</v>
      </c>
      <c r="L311" s="36">
        <v>0.1</v>
      </c>
      <c r="M311" s="43" t="s">
        <v>623</v>
      </c>
      <c r="N311" s="44">
        <v>45965.0</v>
      </c>
      <c r="O311" s="50" t="s">
        <v>30</v>
      </c>
      <c r="P311" s="36" t="s">
        <v>31</v>
      </c>
      <c r="Q311" s="45"/>
      <c r="R311" s="45"/>
    </row>
    <row r="312" ht="22.5" customHeight="1">
      <c r="A312" s="32" t="s">
        <v>828</v>
      </c>
      <c r="B312" s="33"/>
      <c r="C312" s="35"/>
      <c r="D312" s="36"/>
      <c r="E312" s="37"/>
      <c r="F312" s="38"/>
      <c r="G312" s="39"/>
      <c r="H312" s="36"/>
      <c r="I312" s="36"/>
      <c r="J312" s="36"/>
      <c r="K312" s="36"/>
      <c r="L312" s="36"/>
      <c r="M312" s="43"/>
      <c r="N312" s="44"/>
      <c r="O312" s="50"/>
      <c r="P312" s="36"/>
      <c r="Q312" s="45"/>
      <c r="R312" s="45"/>
    </row>
    <row r="313" ht="22.5" customHeight="1">
      <c r="A313" s="36" t="s">
        <v>829</v>
      </c>
      <c r="B313" s="33"/>
      <c r="C313" s="35"/>
      <c r="D313" s="36"/>
      <c r="E313" s="37"/>
      <c r="F313" s="38"/>
      <c r="G313" s="39"/>
      <c r="H313" s="36"/>
      <c r="I313" s="36"/>
      <c r="J313" s="36"/>
      <c r="K313" s="36"/>
      <c r="L313" s="36"/>
      <c r="M313" s="43"/>
      <c r="N313" s="44"/>
      <c r="O313" s="50"/>
      <c r="P313" s="36"/>
      <c r="Q313" s="45"/>
      <c r="R313" s="45"/>
    </row>
    <row r="314" ht="22.5" customHeight="1">
      <c r="A314" s="36" t="s">
        <v>830</v>
      </c>
      <c r="B314" s="33"/>
      <c r="C314" s="35"/>
      <c r="D314" s="36"/>
      <c r="E314" s="37"/>
      <c r="F314" s="38"/>
      <c r="G314" s="39"/>
      <c r="H314" s="36"/>
      <c r="I314" s="36"/>
      <c r="J314" s="36"/>
      <c r="K314" s="36"/>
      <c r="L314" s="36"/>
      <c r="M314" s="43"/>
      <c r="N314" s="44"/>
      <c r="O314" s="50" t="s">
        <v>30</v>
      </c>
      <c r="P314" s="36" t="s">
        <v>31</v>
      </c>
      <c r="Q314" s="45"/>
      <c r="R314" s="45"/>
    </row>
    <row r="315" ht="22.5" customHeight="1">
      <c r="A315" s="32" t="s">
        <v>831</v>
      </c>
      <c r="B315" s="33"/>
      <c r="C315" s="35"/>
      <c r="D315" s="36"/>
      <c r="E315" s="37"/>
      <c r="F315" s="38"/>
      <c r="G315" s="39"/>
      <c r="H315" s="36"/>
      <c r="I315" s="36"/>
      <c r="J315" s="36"/>
      <c r="K315" s="36"/>
      <c r="L315" s="36"/>
      <c r="M315" s="43"/>
      <c r="N315" s="44"/>
      <c r="O315" s="36" t="s">
        <v>30</v>
      </c>
      <c r="P315" s="36" t="s">
        <v>31</v>
      </c>
      <c r="Q315" s="45"/>
      <c r="R315" s="45"/>
    </row>
    <row r="316" ht="22.5" customHeight="1">
      <c r="A316" s="32" t="s">
        <v>832</v>
      </c>
      <c r="B316" s="33"/>
      <c r="C316" s="35"/>
      <c r="D316" s="36"/>
      <c r="E316" s="37"/>
      <c r="F316" s="38"/>
      <c r="G316" s="39"/>
      <c r="H316" s="36"/>
      <c r="I316" s="36"/>
      <c r="J316" s="36"/>
      <c r="K316" s="36"/>
      <c r="L316" s="36"/>
      <c r="M316" s="43"/>
      <c r="N316" s="44"/>
      <c r="O316" s="36"/>
      <c r="P316" s="36"/>
      <c r="Q316" s="45"/>
      <c r="R316" s="45"/>
    </row>
    <row r="317" ht="22.5" customHeight="1">
      <c r="A317" s="32" t="s">
        <v>833</v>
      </c>
      <c r="B317" s="33"/>
      <c r="C317" s="35"/>
      <c r="D317" s="36"/>
      <c r="E317" s="37"/>
      <c r="F317" s="38"/>
      <c r="G317" s="39"/>
      <c r="H317" s="36"/>
      <c r="I317" s="36"/>
      <c r="J317" s="36"/>
      <c r="K317" s="36"/>
      <c r="L317" s="36"/>
      <c r="M317" s="43"/>
      <c r="N317" s="44"/>
      <c r="O317" s="50"/>
      <c r="P317" s="36"/>
      <c r="Q317" s="45"/>
      <c r="R317" s="45"/>
    </row>
    <row r="318" ht="22.5" customHeight="1">
      <c r="A318" s="32" t="s">
        <v>834</v>
      </c>
      <c r="B318" s="33"/>
      <c r="C318" s="35"/>
      <c r="D318" s="36"/>
      <c r="E318" s="37"/>
      <c r="F318" s="38"/>
      <c r="G318" s="39"/>
      <c r="H318" s="36"/>
      <c r="I318" s="36"/>
      <c r="J318" s="36"/>
      <c r="K318" s="36"/>
      <c r="L318" s="36"/>
      <c r="M318" s="43"/>
      <c r="N318" s="44"/>
      <c r="O318" s="50"/>
      <c r="P318" s="36"/>
      <c r="Q318" s="45"/>
      <c r="R318" s="45"/>
    </row>
    <row r="319" ht="22.5" customHeight="1">
      <c r="A319" s="36" t="s">
        <v>835</v>
      </c>
      <c r="B319" s="33"/>
      <c r="C319" s="35"/>
      <c r="D319" s="36"/>
      <c r="E319" s="37"/>
      <c r="F319" s="38"/>
      <c r="G319" s="39"/>
      <c r="H319" s="36"/>
      <c r="I319" s="36"/>
      <c r="J319" s="36"/>
      <c r="K319" s="36"/>
      <c r="L319" s="36"/>
      <c r="M319" s="43"/>
      <c r="N319" s="44"/>
      <c r="O319" s="36"/>
      <c r="P319" s="36"/>
      <c r="Q319" s="45"/>
      <c r="R319" s="45"/>
    </row>
    <row r="320" ht="22.5" customHeight="1">
      <c r="A320" s="32" t="s">
        <v>836</v>
      </c>
      <c r="B320" s="33"/>
      <c r="C320" s="35"/>
      <c r="D320" s="36"/>
      <c r="E320" s="37"/>
      <c r="F320" s="38"/>
      <c r="G320" s="39"/>
      <c r="H320" s="36"/>
      <c r="I320" s="36"/>
      <c r="J320" s="36"/>
      <c r="K320" s="36"/>
      <c r="L320" s="36"/>
      <c r="M320" s="43"/>
      <c r="N320" s="44"/>
      <c r="O320" s="50"/>
      <c r="P320" s="36"/>
      <c r="Q320" s="45"/>
      <c r="R320" s="45"/>
    </row>
    <row r="321" ht="22.5" customHeight="1">
      <c r="A321" s="32" t="s">
        <v>837</v>
      </c>
      <c r="B321" s="33"/>
      <c r="C321" s="35"/>
      <c r="D321" s="36"/>
      <c r="E321" s="37"/>
      <c r="F321" s="38"/>
      <c r="G321" s="39"/>
      <c r="H321" s="36"/>
      <c r="I321" s="36"/>
      <c r="J321" s="36"/>
      <c r="K321" s="36"/>
      <c r="L321" s="36"/>
      <c r="M321" s="43"/>
      <c r="N321" s="44"/>
      <c r="O321" s="50"/>
      <c r="P321" s="36"/>
      <c r="Q321" s="45"/>
      <c r="R321" s="45"/>
    </row>
    <row r="322" ht="22.5" customHeight="1">
      <c r="A322" s="36" t="s">
        <v>838</v>
      </c>
      <c r="B322" s="33"/>
      <c r="C322" s="35"/>
      <c r="D322" s="36"/>
      <c r="E322" s="37"/>
      <c r="F322" s="38"/>
      <c r="G322" s="39"/>
      <c r="H322" s="36"/>
      <c r="I322" s="36"/>
      <c r="J322" s="36"/>
      <c r="K322" s="36"/>
      <c r="L322" s="36"/>
      <c r="M322" s="43"/>
      <c r="N322" s="44"/>
      <c r="O322" s="50"/>
      <c r="P322" s="36"/>
      <c r="Q322" s="45"/>
      <c r="R322" s="45"/>
    </row>
    <row r="323" ht="22.5" customHeight="1">
      <c r="A323" s="32" t="s">
        <v>839</v>
      </c>
      <c r="B323" s="33"/>
      <c r="C323" s="35"/>
      <c r="D323" s="36"/>
      <c r="E323" s="37"/>
      <c r="F323" s="38"/>
      <c r="G323" s="39"/>
      <c r="H323" s="36"/>
      <c r="I323" s="36"/>
      <c r="J323" s="36"/>
      <c r="K323" s="36"/>
      <c r="L323" s="36"/>
      <c r="M323" s="43"/>
      <c r="N323" s="44"/>
      <c r="O323" s="50"/>
      <c r="P323" s="36"/>
      <c r="Q323" s="45"/>
      <c r="R323" s="45"/>
    </row>
    <row r="324" ht="22.5" customHeight="1">
      <c r="A324" s="32" t="s">
        <v>840</v>
      </c>
      <c r="B324" s="33"/>
      <c r="C324" s="35"/>
      <c r="D324" s="36"/>
      <c r="E324" s="37"/>
      <c r="F324" s="38"/>
      <c r="G324" s="39"/>
      <c r="H324" s="36"/>
      <c r="I324" s="36"/>
      <c r="J324" s="36"/>
      <c r="K324" s="36"/>
      <c r="L324" s="36"/>
      <c r="M324" s="43"/>
      <c r="N324" s="44"/>
      <c r="O324" s="36" t="s">
        <v>30</v>
      </c>
      <c r="P324" s="36" t="s">
        <v>31</v>
      </c>
      <c r="Q324" s="45"/>
      <c r="R324" s="45"/>
    </row>
    <row r="325" ht="22.5" customHeight="1">
      <c r="A325" s="32" t="s">
        <v>841</v>
      </c>
      <c r="B325" s="33"/>
      <c r="C325" s="35"/>
      <c r="D325" s="36"/>
      <c r="E325" s="37"/>
      <c r="F325" s="38"/>
      <c r="G325" s="39"/>
      <c r="H325" s="36"/>
      <c r="I325" s="36"/>
      <c r="J325" s="36"/>
      <c r="K325" s="36"/>
      <c r="L325" s="36"/>
      <c r="M325" s="43"/>
      <c r="N325" s="44"/>
      <c r="O325" s="36"/>
      <c r="P325" s="36" t="s">
        <v>31</v>
      </c>
      <c r="Q325" s="45"/>
      <c r="R325" s="45"/>
    </row>
    <row r="326" ht="22.5" customHeight="1">
      <c r="A326" s="32" t="s">
        <v>842</v>
      </c>
      <c r="B326" s="33"/>
      <c r="C326" s="35"/>
      <c r="D326" s="36"/>
      <c r="E326" s="37"/>
      <c r="F326" s="38"/>
      <c r="G326" s="39"/>
      <c r="H326" s="36"/>
      <c r="I326" s="36"/>
      <c r="J326" s="36"/>
      <c r="K326" s="36"/>
      <c r="L326" s="36"/>
      <c r="M326" s="43"/>
      <c r="N326" s="44"/>
      <c r="O326" s="36"/>
      <c r="P326" s="36"/>
      <c r="Q326" s="45"/>
      <c r="R326" s="45"/>
    </row>
    <row r="327" ht="22.5" customHeight="1">
      <c r="A327" s="32" t="s">
        <v>843</v>
      </c>
      <c r="B327" s="33"/>
      <c r="C327" s="35"/>
      <c r="D327" s="36"/>
      <c r="E327" s="37"/>
      <c r="F327" s="38"/>
      <c r="G327" s="39"/>
      <c r="H327" s="36"/>
      <c r="I327" s="36"/>
      <c r="J327" s="36"/>
      <c r="K327" s="36"/>
      <c r="L327" s="36"/>
      <c r="M327" s="43"/>
      <c r="N327" s="44"/>
      <c r="O327" s="50"/>
      <c r="P327" s="36"/>
      <c r="Q327" s="45"/>
      <c r="R327" s="45"/>
    </row>
    <row r="328" ht="22.5" customHeight="1">
      <c r="A328" s="32" t="s">
        <v>844</v>
      </c>
      <c r="B328" s="33"/>
      <c r="C328" s="35"/>
      <c r="D328" s="36"/>
      <c r="E328" s="37"/>
      <c r="F328" s="38"/>
      <c r="G328" s="39"/>
      <c r="H328" s="36"/>
      <c r="I328" s="36"/>
      <c r="J328" s="36"/>
      <c r="K328" s="36"/>
      <c r="L328" s="36"/>
      <c r="M328" s="43"/>
      <c r="N328" s="44"/>
      <c r="O328" s="36"/>
      <c r="P328" s="36"/>
      <c r="Q328" s="45"/>
      <c r="R328" s="45"/>
    </row>
    <row r="329" ht="22.5" customHeight="1">
      <c r="A329" s="32" t="s">
        <v>845</v>
      </c>
      <c r="B329" s="33"/>
      <c r="C329" s="35"/>
      <c r="D329" s="36"/>
      <c r="E329" s="37"/>
      <c r="F329" s="38"/>
      <c r="G329" s="39"/>
      <c r="H329" s="36"/>
      <c r="I329" s="36"/>
      <c r="J329" s="36"/>
      <c r="K329" s="36"/>
      <c r="L329" s="36"/>
      <c r="M329" s="43"/>
      <c r="N329" s="44"/>
      <c r="O329" s="36"/>
      <c r="P329" s="36"/>
      <c r="Q329" s="45"/>
      <c r="R329" s="45"/>
    </row>
    <row r="330" ht="22.5" customHeight="1">
      <c r="A330" s="32" t="s">
        <v>846</v>
      </c>
      <c r="B330" s="33"/>
      <c r="C330" s="35"/>
      <c r="D330" s="36"/>
      <c r="E330" s="37"/>
      <c r="F330" s="38"/>
      <c r="G330" s="39"/>
      <c r="H330" s="36"/>
      <c r="I330" s="36"/>
      <c r="J330" s="36"/>
      <c r="K330" s="36"/>
      <c r="L330" s="36"/>
      <c r="M330" s="43"/>
      <c r="N330" s="44"/>
      <c r="O330" s="36"/>
      <c r="P330" s="36"/>
      <c r="Q330" s="45"/>
      <c r="R330" s="45"/>
    </row>
    <row r="331" ht="22.5" customHeight="1">
      <c r="A331" s="32" t="s">
        <v>847</v>
      </c>
      <c r="B331" s="33"/>
      <c r="C331" s="35"/>
      <c r="D331" s="36"/>
      <c r="E331" s="37"/>
      <c r="F331" s="38"/>
      <c r="G331" s="39"/>
      <c r="H331" s="36"/>
      <c r="I331" s="36"/>
      <c r="J331" s="36"/>
      <c r="K331" s="36"/>
      <c r="L331" s="36"/>
      <c r="M331" s="43"/>
      <c r="N331" s="44"/>
      <c r="O331" s="50"/>
      <c r="P331" s="36"/>
      <c r="Q331" s="45"/>
      <c r="R331" s="45"/>
    </row>
    <row r="332" ht="22.5" customHeight="1">
      <c r="A332" s="32" t="s">
        <v>848</v>
      </c>
      <c r="B332" s="33"/>
      <c r="C332" s="35"/>
      <c r="D332" s="36"/>
      <c r="E332" s="37"/>
      <c r="F332" s="38"/>
      <c r="G332" s="39"/>
      <c r="H332" s="36"/>
      <c r="I332" s="36"/>
      <c r="J332" s="36"/>
      <c r="K332" s="36"/>
      <c r="L332" s="36"/>
      <c r="M332" s="43"/>
      <c r="N332" s="44"/>
      <c r="O332" s="36"/>
      <c r="P332" s="36"/>
      <c r="Q332" s="45"/>
      <c r="R332" s="45"/>
    </row>
    <row r="333" ht="22.5" customHeight="1">
      <c r="A333" s="32" t="s">
        <v>849</v>
      </c>
      <c r="B333" s="33"/>
      <c r="C333" s="35"/>
      <c r="D333" s="36"/>
      <c r="E333" s="37"/>
      <c r="F333" s="38"/>
      <c r="G333" s="39"/>
      <c r="H333" s="36"/>
      <c r="I333" s="36"/>
      <c r="J333" s="36"/>
      <c r="K333" s="36"/>
      <c r="L333" s="36"/>
      <c r="M333" s="43"/>
      <c r="N333" s="44"/>
      <c r="O333" s="50"/>
      <c r="P333" s="36"/>
      <c r="Q333" s="45"/>
      <c r="R333" s="45"/>
    </row>
    <row r="334" ht="22.5" customHeight="1">
      <c r="A334" s="32" t="s">
        <v>850</v>
      </c>
      <c r="B334" s="33"/>
      <c r="C334" s="35"/>
      <c r="D334" s="36"/>
      <c r="E334" s="37"/>
      <c r="F334" s="38"/>
      <c r="G334" s="39"/>
      <c r="H334" s="36"/>
      <c r="I334" s="36"/>
      <c r="J334" s="36"/>
      <c r="K334" s="36"/>
      <c r="L334" s="36"/>
      <c r="M334" s="43"/>
      <c r="N334" s="44"/>
      <c r="O334" s="36"/>
      <c r="P334" s="36"/>
      <c r="Q334" s="45"/>
      <c r="R334" s="45"/>
    </row>
    <row r="335" ht="22.5" customHeight="1">
      <c r="A335" s="32" t="s">
        <v>851</v>
      </c>
      <c r="B335" s="35"/>
      <c r="C335" s="35"/>
      <c r="D335" s="36"/>
      <c r="E335" s="37"/>
      <c r="F335" s="38"/>
      <c r="G335" s="39"/>
      <c r="H335" s="36"/>
      <c r="I335" s="36"/>
      <c r="J335" s="36"/>
      <c r="K335" s="36"/>
      <c r="L335" s="36"/>
      <c r="M335" s="43"/>
      <c r="N335" s="44"/>
      <c r="O335" s="50"/>
      <c r="P335" s="36"/>
      <c r="Q335" s="45"/>
      <c r="R335" s="45"/>
    </row>
    <row r="336" ht="22.5" customHeight="1">
      <c r="A336" s="32" t="s">
        <v>852</v>
      </c>
      <c r="B336" s="33"/>
      <c r="C336" s="35"/>
      <c r="D336" s="36"/>
      <c r="E336" s="37"/>
      <c r="F336" s="38"/>
      <c r="G336" s="39"/>
      <c r="H336" s="36"/>
      <c r="I336" s="36"/>
      <c r="J336" s="36"/>
      <c r="K336" s="36"/>
      <c r="L336" s="36"/>
      <c r="M336" s="43"/>
      <c r="N336" s="44"/>
      <c r="O336" s="36"/>
      <c r="P336" s="36"/>
      <c r="Q336" s="45"/>
      <c r="R336" s="45"/>
    </row>
    <row r="337" ht="22.5" customHeight="1">
      <c r="A337" s="32" t="s">
        <v>853</v>
      </c>
      <c r="B337" s="33"/>
      <c r="C337" s="35"/>
      <c r="D337" s="36"/>
      <c r="E337" s="37"/>
      <c r="F337" s="38"/>
      <c r="G337" s="39"/>
      <c r="H337" s="36"/>
      <c r="I337" s="36"/>
      <c r="J337" s="36"/>
      <c r="K337" s="36"/>
      <c r="L337" s="36"/>
      <c r="M337" s="43"/>
      <c r="N337" s="44"/>
      <c r="O337" s="36"/>
      <c r="P337" s="36"/>
      <c r="Q337" s="45"/>
      <c r="R337" s="45"/>
    </row>
    <row r="338" ht="22.5" customHeight="1">
      <c r="A338" s="32" t="s">
        <v>854</v>
      </c>
      <c r="B338" s="35"/>
      <c r="C338" s="35"/>
      <c r="D338" s="36"/>
      <c r="E338" s="37"/>
      <c r="F338" s="38"/>
      <c r="G338" s="39"/>
      <c r="H338" s="36"/>
      <c r="I338" s="36"/>
      <c r="J338" s="36"/>
      <c r="K338" s="36"/>
      <c r="L338" s="36"/>
      <c r="M338" s="43"/>
      <c r="N338" s="44"/>
      <c r="O338" s="36"/>
      <c r="P338" s="36"/>
      <c r="Q338" s="45"/>
      <c r="R338" s="45"/>
    </row>
    <row r="339" ht="22.5" customHeight="1">
      <c r="A339" s="32" t="s">
        <v>855</v>
      </c>
      <c r="B339" s="33"/>
      <c r="C339" s="35"/>
      <c r="D339" s="36"/>
      <c r="E339" s="37"/>
      <c r="F339" s="38"/>
      <c r="G339" s="39"/>
      <c r="H339" s="36"/>
      <c r="I339" s="36"/>
      <c r="J339" s="36"/>
      <c r="K339" s="36"/>
      <c r="L339" s="36"/>
      <c r="M339" s="43"/>
      <c r="N339" s="44"/>
      <c r="O339" s="36" t="s">
        <v>30</v>
      </c>
      <c r="P339" s="36" t="s">
        <v>31</v>
      </c>
      <c r="Q339" s="45"/>
      <c r="R339" s="45"/>
    </row>
    <row r="340" ht="22.5" customHeight="1">
      <c r="A340" s="36" t="s">
        <v>856</v>
      </c>
      <c r="B340" s="33"/>
      <c r="C340" s="35"/>
      <c r="D340" s="36"/>
      <c r="E340" s="37"/>
      <c r="F340" s="38"/>
      <c r="G340" s="39"/>
      <c r="H340" s="36"/>
      <c r="I340" s="36"/>
      <c r="J340" s="36"/>
      <c r="K340" s="36"/>
      <c r="L340" s="36"/>
      <c r="M340" s="43"/>
      <c r="N340" s="44"/>
      <c r="O340" s="50"/>
      <c r="P340" s="36"/>
      <c r="Q340" s="45"/>
      <c r="R340" s="45"/>
    </row>
    <row r="341" ht="22.5" customHeight="1">
      <c r="A341" s="32" t="s">
        <v>857</v>
      </c>
      <c r="B341" s="33"/>
      <c r="C341" s="35"/>
      <c r="D341" s="36"/>
      <c r="E341" s="37"/>
      <c r="F341" s="38"/>
      <c r="G341" s="39"/>
      <c r="H341" s="36"/>
      <c r="I341" s="36"/>
      <c r="J341" s="36"/>
      <c r="K341" s="36"/>
      <c r="L341" s="36"/>
      <c r="M341" s="43"/>
      <c r="N341" s="44"/>
      <c r="O341" s="50"/>
      <c r="P341" s="36"/>
      <c r="Q341" s="45"/>
      <c r="R341" s="45"/>
    </row>
    <row r="342" ht="22.5" customHeight="1">
      <c r="A342" s="32" t="s">
        <v>858</v>
      </c>
      <c r="B342" s="35"/>
      <c r="C342" s="35"/>
      <c r="D342" s="36"/>
      <c r="E342" s="37"/>
      <c r="F342" s="38"/>
      <c r="G342" s="39"/>
      <c r="H342" s="36"/>
      <c r="I342" s="36"/>
      <c r="J342" s="36"/>
      <c r="K342" s="36"/>
      <c r="L342" s="36"/>
      <c r="M342" s="43"/>
      <c r="N342" s="44"/>
      <c r="O342" s="50"/>
      <c r="P342" s="36"/>
      <c r="Q342" s="45"/>
      <c r="R342" s="45"/>
    </row>
    <row r="343" ht="22.5" customHeight="1">
      <c r="A343" s="32" t="s">
        <v>859</v>
      </c>
      <c r="B343" s="33"/>
      <c r="C343" s="35"/>
      <c r="D343" s="36"/>
      <c r="E343" s="37"/>
      <c r="F343" s="38"/>
      <c r="G343" s="39"/>
      <c r="H343" s="36"/>
      <c r="I343" s="36"/>
      <c r="J343" s="36"/>
      <c r="K343" s="36"/>
      <c r="L343" s="36"/>
      <c r="M343" s="43"/>
      <c r="N343" s="44"/>
      <c r="O343" s="50"/>
      <c r="P343" s="36"/>
      <c r="Q343" s="45"/>
      <c r="R343" s="45"/>
    </row>
    <row r="344" ht="22.5" customHeight="1">
      <c r="A344" s="32" t="s">
        <v>860</v>
      </c>
      <c r="B344" s="35"/>
      <c r="C344" s="35"/>
      <c r="D344" s="36"/>
      <c r="E344" s="37"/>
      <c r="F344" s="38"/>
      <c r="G344" s="39"/>
      <c r="H344" s="36"/>
      <c r="I344" s="36"/>
      <c r="J344" s="36"/>
      <c r="K344" s="36"/>
      <c r="L344" s="36"/>
      <c r="M344" s="43"/>
      <c r="N344" s="44"/>
      <c r="O344" s="50"/>
      <c r="P344" s="36"/>
      <c r="Q344" s="45"/>
      <c r="R344" s="45"/>
    </row>
    <row r="345" ht="22.5" customHeight="1">
      <c r="A345" s="32" t="s">
        <v>861</v>
      </c>
      <c r="B345" s="33"/>
      <c r="C345" s="35"/>
      <c r="D345" s="36"/>
      <c r="E345" s="37"/>
      <c r="F345" s="38"/>
      <c r="G345" s="39"/>
      <c r="H345" s="36"/>
      <c r="I345" s="36"/>
      <c r="J345" s="36"/>
      <c r="K345" s="36"/>
      <c r="L345" s="36"/>
      <c r="M345" s="43"/>
      <c r="N345" s="44"/>
      <c r="O345" s="50"/>
      <c r="P345" s="36"/>
      <c r="Q345" s="45"/>
      <c r="R345" s="45"/>
    </row>
    <row r="346" ht="22.5" customHeight="1">
      <c r="A346" s="36" t="s">
        <v>862</v>
      </c>
      <c r="B346" s="33"/>
      <c r="C346" s="35"/>
      <c r="D346" s="36"/>
      <c r="E346" s="37"/>
      <c r="F346" s="38"/>
      <c r="G346" s="39"/>
      <c r="H346" s="36"/>
      <c r="I346" s="36"/>
      <c r="J346" s="36"/>
      <c r="K346" s="36"/>
      <c r="L346" s="36"/>
      <c r="M346" s="43"/>
      <c r="N346" s="44"/>
      <c r="O346" s="50"/>
      <c r="P346" s="36"/>
      <c r="Q346" s="45"/>
      <c r="R346" s="45"/>
    </row>
    <row r="347" ht="22.5" customHeight="1">
      <c r="A347" s="32" t="s">
        <v>863</v>
      </c>
      <c r="B347" s="33"/>
      <c r="C347" s="35"/>
      <c r="D347" s="36"/>
      <c r="E347" s="37"/>
      <c r="F347" s="38"/>
      <c r="G347" s="39"/>
      <c r="H347" s="36"/>
      <c r="I347" s="36"/>
      <c r="J347" s="36"/>
      <c r="K347" s="36"/>
      <c r="L347" s="36"/>
      <c r="M347" s="43"/>
      <c r="N347" s="44"/>
      <c r="O347" s="50" t="s">
        <v>30</v>
      </c>
      <c r="P347" s="36" t="s">
        <v>31</v>
      </c>
      <c r="Q347" s="45"/>
      <c r="R347" s="45"/>
    </row>
    <row r="348" ht="22.5" customHeight="1">
      <c r="A348" s="36" t="s">
        <v>863</v>
      </c>
      <c r="B348" s="33"/>
      <c r="C348" s="35"/>
      <c r="D348" s="36"/>
      <c r="E348" s="37"/>
      <c r="F348" s="38"/>
      <c r="G348" s="53"/>
      <c r="H348" s="61"/>
      <c r="I348" s="61"/>
      <c r="J348" s="61"/>
      <c r="K348" s="61"/>
      <c r="L348" s="61"/>
      <c r="M348" s="43"/>
      <c r="N348" s="44"/>
      <c r="O348" s="50" t="s">
        <v>30</v>
      </c>
      <c r="P348" s="36" t="s">
        <v>31</v>
      </c>
      <c r="Q348" s="45"/>
      <c r="R348" s="45"/>
    </row>
    <row r="349" ht="22.5" customHeight="1">
      <c r="A349" s="32" t="s">
        <v>864</v>
      </c>
      <c r="B349" s="33"/>
      <c r="C349" s="35"/>
      <c r="D349" s="36"/>
      <c r="E349" s="37"/>
      <c r="F349" s="38"/>
      <c r="G349" s="39"/>
      <c r="H349" s="36"/>
      <c r="I349" s="36"/>
      <c r="J349" s="36"/>
      <c r="K349" s="36"/>
      <c r="L349" s="36"/>
      <c r="M349" s="43"/>
      <c r="N349" s="44"/>
      <c r="O349" s="50" t="s">
        <v>30</v>
      </c>
      <c r="P349" s="36" t="s">
        <v>31</v>
      </c>
      <c r="Q349" s="45"/>
      <c r="R349" s="45"/>
    </row>
    <row r="350" ht="22.5" customHeight="1">
      <c r="A350" s="32" t="s">
        <v>865</v>
      </c>
      <c r="B350" s="33"/>
      <c r="C350" s="35"/>
      <c r="D350" s="36"/>
      <c r="E350" s="37"/>
      <c r="F350" s="38"/>
      <c r="G350" s="39"/>
      <c r="H350" s="36"/>
      <c r="I350" s="36"/>
      <c r="J350" s="36"/>
      <c r="K350" s="36"/>
      <c r="L350" s="36"/>
      <c r="M350" s="43"/>
      <c r="N350" s="44"/>
      <c r="O350" s="36" t="s">
        <v>30</v>
      </c>
      <c r="P350" s="36" t="s">
        <v>31</v>
      </c>
      <c r="Q350" s="45"/>
      <c r="R350" s="45"/>
    </row>
    <row r="351" ht="22.5" customHeight="1">
      <c r="A351" s="65" t="s">
        <v>866</v>
      </c>
      <c r="B351" s="65"/>
      <c r="C351" s="36"/>
      <c r="D351" s="50"/>
      <c r="E351" s="37"/>
      <c r="F351" s="38"/>
      <c r="G351" s="39"/>
      <c r="H351" s="36"/>
      <c r="I351" s="36"/>
      <c r="J351" s="36"/>
      <c r="K351" s="36"/>
      <c r="L351" s="36"/>
      <c r="M351" s="36"/>
      <c r="N351" s="44"/>
      <c r="O351" s="50"/>
      <c r="P351" s="36"/>
      <c r="Q351" s="45"/>
      <c r="R351" s="45"/>
    </row>
    <row r="352" ht="22.5" customHeight="1">
      <c r="A352" s="32" t="s">
        <v>867</v>
      </c>
      <c r="B352" s="33"/>
      <c r="C352" s="35"/>
      <c r="D352" s="36"/>
      <c r="E352" s="37"/>
      <c r="F352" s="38"/>
      <c r="G352" s="39"/>
      <c r="H352" s="36"/>
      <c r="I352" s="36"/>
      <c r="J352" s="36"/>
      <c r="K352" s="36"/>
      <c r="L352" s="36"/>
      <c r="M352" s="43"/>
      <c r="N352" s="44"/>
      <c r="O352" s="50" t="s">
        <v>30</v>
      </c>
      <c r="P352" s="36" t="s">
        <v>31</v>
      </c>
      <c r="Q352" s="45"/>
      <c r="R352" s="45"/>
    </row>
    <row r="353" ht="22.5" customHeight="1">
      <c r="A353" s="32" t="s">
        <v>868</v>
      </c>
      <c r="B353" s="33"/>
      <c r="C353" s="35"/>
      <c r="D353" s="36"/>
      <c r="E353" s="37"/>
      <c r="F353" s="38"/>
      <c r="G353" s="39"/>
      <c r="H353" s="36"/>
      <c r="I353" s="36"/>
      <c r="J353" s="36"/>
      <c r="K353" s="36"/>
      <c r="L353" s="36"/>
      <c r="M353" s="43"/>
      <c r="N353" s="44"/>
      <c r="O353" s="50" t="s">
        <v>30</v>
      </c>
      <c r="P353" s="36" t="s">
        <v>31</v>
      </c>
      <c r="Q353" s="45"/>
      <c r="R353" s="45"/>
    </row>
    <row r="354" ht="22.5" customHeight="1">
      <c r="A354" s="36" t="s">
        <v>869</v>
      </c>
      <c r="B354" s="33"/>
      <c r="C354" s="35"/>
      <c r="D354" s="36"/>
      <c r="E354" s="37"/>
      <c r="F354" s="38"/>
      <c r="G354" s="39"/>
      <c r="H354" s="36"/>
      <c r="I354" s="36"/>
      <c r="J354" s="36"/>
      <c r="K354" s="36"/>
      <c r="L354" s="36"/>
      <c r="M354" s="43"/>
      <c r="N354" s="44"/>
      <c r="O354" s="50" t="s">
        <v>30</v>
      </c>
      <c r="P354" s="36" t="s">
        <v>31</v>
      </c>
      <c r="Q354" s="45"/>
      <c r="R354" s="45"/>
    </row>
    <row r="355" ht="22.5" customHeight="1">
      <c r="A355" s="36" t="s">
        <v>870</v>
      </c>
      <c r="B355" s="33"/>
      <c r="C355" s="35"/>
      <c r="D355" s="36"/>
      <c r="E355" s="37"/>
      <c r="F355" s="38"/>
      <c r="G355" s="39"/>
      <c r="H355" s="36"/>
      <c r="I355" s="36"/>
      <c r="J355" s="36"/>
      <c r="K355" s="36"/>
      <c r="L355" s="36"/>
      <c r="M355" s="43"/>
      <c r="N355" s="44"/>
      <c r="O355" s="50"/>
      <c r="P355" s="36"/>
      <c r="Q355" s="45"/>
      <c r="R355" s="45"/>
    </row>
    <row r="356" ht="22.5" customHeight="1">
      <c r="A356" s="36" t="s">
        <v>871</v>
      </c>
      <c r="B356" s="33"/>
      <c r="C356" s="35"/>
      <c r="D356" s="36"/>
      <c r="E356" s="37"/>
      <c r="F356" s="38"/>
      <c r="G356" s="39"/>
      <c r="H356" s="36"/>
      <c r="I356" s="36"/>
      <c r="J356" s="36"/>
      <c r="K356" s="36"/>
      <c r="L356" s="36"/>
      <c r="M356" s="43"/>
      <c r="N356" s="44"/>
      <c r="O356" s="50"/>
      <c r="P356" s="36"/>
      <c r="Q356" s="45"/>
      <c r="R356" s="45"/>
    </row>
    <row r="357" ht="22.5" customHeight="1">
      <c r="A357" s="32" t="s">
        <v>872</v>
      </c>
      <c r="B357" s="33"/>
      <c r="C357" s="35"/>
      <c r="D357" s="36"/>
      <c r="E357" s="37"/>
      <c r="F357" s="38"/>
      <c r="G357" s="39"/>
      <c r="H357" s="36"/>
      <c r="I357" s="36"/>
      <c r="J357" s="36"/>
      <c r="K357" s="36"/>
      <c r="L357" s="36"/>
      <c r="M357" s="43"/>
      <c r="N357" s="44"/>
      <c r="O357" s="50"/>
      <c r="P357" s="36"/>
      <c r="Q357" s="45"/>
      <c r="R357" s="45"/>
    </row>
    <row r="358" ht="22.5" customHeight="1">
      <c r="A358" s="32" t="s">
        <v>873</v>
      </c>
      <c r="B358" s="33"/>
      <c r="C358" s="35"/>
      <c r="D358" s="36"/>
      <c r="E358" s="37"/>
      <c r="F358" s="38"/>
      <c r="G358" s="39"/>
      <c r="H358" s="36"/>
      <c r="I358" s="36"/>
      <c r="J358" s="36"/>
      <c r="K358" s="36"/>
      <c r="L358" s="36"/>
      <c r="M358" s="43"/>
      <c r="N358" s="44"/>
      <c r="O358" s="36" t="s">
        <v>93</v>
      </c>
      <c r="P358" s="36" t="s">
        <v>31</v>
      </c>
      <c r="Q358" s="45"/>
      <c r="R358" s="45"/>
    </row>
    <row r="359" ht="22.5" customHeight="1">
      <c r="A359" s="50" t="s">
        <v>874</v>
      </c>
      <c r="B359" s="33"/>
      <c r="C359" s="35"/>
      <c r="D359" s="36"/>
      <c r="E359" s="37"/>
      <c r="F359" s="38"/>
      <c r="G359" s="39"/>
      <c r="H359" s="36"/>
      <c r="I359" s="36"/>
      <c r="J359" s="36"/>
      <c r="K359" s="36"/>
      <c r="L359" s="36"/>
      <c r="M359" s="43"/>
      <c r="N359" s="44"/>
      <c r="O359" s="50"/>
      <c r="P359" s="36"/>
      <c r="Q359" s="45"/>
      <c r="R359" s="45"/>
    </row>
    <row r="360" ht="22.5" customHeight="1">
      <c r="A360" s="32" t="s">
        <v>875</v>
      </c>
      <c r="B360" s="33"/>
      <c r="C360" s="35"/>
      <c r="D360" s="36"/>
      <c r="E360" s="37"/>
      <c r="F360" s="38"/>
      <c r="G360" s="39"/>
      <c r="H360" s="36"/>
      <c r="I360" s="36"/>
      <c r="J360" s="36"/>
      <c r="K360" s="36"/>
      <c r="L360" s="36"/>
      <c r="M360" s="43"/>
      <c r="N360" s="44"/>
      <c r="O360" s="36"/>
      <c r="P360" s="36"/>
      <c r="Q360" s="45"/>
      <c r="R360" s="45"/>
    </row>
    <row r="361" ht="22.5" customHeight="1">
      <c r="A361" s="32" t="s">
        <v>876</v>
      </c>
      <c r="B361" s="33"/>
      <c r="C361" s="35"/>
      <c r="D361" s="36"/>
      <c r="E361" s="37"/>
      <c r="F361" s="38"/>
      <c r="G361" s="39"/>
      <c r="H361" s="36"/>
      <c r="I361" s="36"/>
      <c r="J361" s="36"/>
      <c r="K361" s="36"/>
      <c r="L361" s="36"/>
      <c r="M361" s="43"/>
      <c r="N361" s="44"/>
      <c r="O361" s="50"/>
      <c r="P361" s="36"/>
      <c r="Q361" s="45"/>
      <c r="R361" s="45"/>
    </row>
    <row r="362" ht="22.5" customHeight="1">
      <c r="A362" s="36" t="s">
        <v>877</v>
      </c>
      <c r="B362" s="33"/>
      <c r="C362" s="35"/>
      <c r="D362" s="36"/>
      <c r="E362" s="37"/>
      <c r="F362" s="38"/>
      <c r="G362" s="39"/>
      <c r="H362" s="36"/>
      <c r="I362" s="36"/>
      <c r="J362" s="36"/>
      <c r="K362" s="36"/>
      <c r="L362" s="36"/>
      <c r="M362" s="43"/>
      <c r="N362" s="44"/>
      <c r="O362" s="50"/>
      <c r="P362" s="36"/>
      <c r="Q362" s="45"/>
      <c r="R362" s="45"/>
    </row>
    <row r="363" ht="22.5" customHeight="1">
      <c r="A363" s="32" t="s">
        <v>878</v>
      </c>
      <c r="B363" s="33"/>
      <c r="C363" s="35"/>
      <c r="D363" s="36"/>
      <c r="E363" s="37"/>
      <c r="F363" s="38"/>
      <c r="G363" s="39"/>
      <c r="H363" s="36"/>
      <c r="I363" s="36"/>
      <c r="J363" s="36"/>
      <c r="K363" s="36"/>
      <c r="L363" s="36"/>
      <c r="M363" s="43"/>
      <c r="N363" s="44"/>
      <c r="O363" s="50"/>
      <c r="P363" s="36"/>
      <c r="Q363" s="45"/>
      <c r="R363" s="45"/>
    </row>
    <row r="364" ht="22.5" customHeight="1">
      <c r="A364" s="32" t="s">
        <v>879</v>
      </c>
      <c r="B364" s="33"/>
      <c r="C364" s="35"/>
      <c r="D364" s="36"/>
      <c r="E364" s="37"/>
      <c r="F364" s="38"/>
      <c r="G364" s="39"/>
      <c r="H364" s="36"/>
      <c r="I364" s="36"/>
      <c r="J364" s="36"/>
      <c r="K364" s="36"/>
      <c r="L364" s="36"/>
      <c r="M364" s="43"/>
      <c r="N364" s="44"/>
      <c r="O364" s="50" t="s">
        <v>30</v>
      </c>
      <c r="P364" s="36" t="s">
        <v>31</v>
      </c>
      <c r="Q364" s="45"/>
      <c r="R364" s="45"/>
    </row>
    <row r="365" ht="22.5" customHeight="1">
      <c r="A365" s="32" t="s">
        <v>880</v>
      </c>
      <c r="B365" s="33"/>
      <c r="C365" s="35"/>
      <c r="D365" s="36"/>
      <c r="E365" s="37"/>
      <c r="F365" s="38"/>
      <c r="G365" s="39"/>
      <c r="H365" s="36"/>
      <c r="I365" s="36"/>
      <c r="J365" s="36"/>
      <c r="K365" s="36"/>
      <c r="L365" s="36"/>
      <c r="M365" s="43"/>
      <c r="N365" s="44"/>
      <c r="O365" s="50" t="s">
        <v>30</v>
      </c>
      <c r="P365" s="36" t="s">
        <v>31</v>
      </c>
      <c r="Q365" s="45"/>
      <c r="R365" s="45"/>
    </row>
    <row r="366" ht="22.5" customHeight="1">
      <c r="A366" s="32" t="s">
        <v>881</v>
      </c>
      <c r="B366" s="33"/>
      <c r="C366" s="35"/>
      <c r="D366" s="36"/>
      <c r="E366" s="37"/>
      <c r="F366" s="38"/>
      <c r="G366" s="39"/>
      <c r="H366" s="36"/>
      <c r="I366" s="36"/>
      <c r="J366" s="36"/>
      <c r="K366" s="36"/>
      <c r="L366" s="36"/>
      <c r="M366" s="43"/>
      <c r="N366" s="44"/>
      <c r="O366" s="50" t="s">
        <v>30</v>
      </c>
      <c r="P366" s="36" t="s">
        <v>31</v>
      </c>
      <c r="Q366" s="45"/>
      <c r="R366" s="45"/>
    </row>
    <row r="367" ht="22.5" customHeight="1">
      <c r="A367" s="32" t="s">
        <v>882</v>
      </c>
      <c r="B367" s="33"/>
      <c r="C367" s="35"/>
      <c r="D367" s="36"/>
      <c r="E367" s="37"/>
      <c r="F367" s="38"/>
      <c r="G367" s="39"/>
      <c r="H367" s="36"/>
      <c r="I367" s="36"/>
      <c r="J367" s="36"/>
      <c r="K367" s="36"/>
      <c r="L367" s="36"/>
      <c r="M367" s="43"/>
      <c r="N367" s="44"/>
      <c r="O367" s="50" t="s">
        <v>30</v>
      </c>
      <c r="P367" s="36" t="s">
        <v>31</v>
      </c>
      <c r="Q367" s="45"/>
      <c r="R367" s="45"/>
    </row>
    <row r="368" ht="22.5" customHeight="1">
      <c r="A368" s="32" t="s">
        <v>883</v>
      </c>
      <c r="B368" s="33"/>
      <c r="C368" s="35"/>
      <c r="D368" s="36"/>
      <c r="E368" s="37"/>
      <c r="F368" s="38"/>
      <c r="G368" s="39"/>
      <c r="H368" s="36"/>
      <c r="I368" s="36"/>
      <c r="J368" s="36"/>
      <c r="K368" s="36"/>
      <c r="L368" s="36"/>
      <c r="M368" s="43"/>
      <c r="N368" s="44"/>
      <c r="O368" s="50"/>
      <c r="P368" s="36"/>
      <c r="Q368" s="45"/>
      <c r="R368" s="45"/>
    </row>
    <row r="369" ht="22.5" customHeight="1">
      <c r="A369" s="36" t="s">
        <v>884</v>
      </c>
      <c r="B369" s="33"/>
      <c r="C369" s="35"/>
      <c r="D369" s="36"/>
      <c r="E369" s="37"/>
      <c r="F369" s="38"/>
      <c r="G369" s="39"/>
      <c r="H369" s="36"/>
      <c r="I369" s="36"/>
      <c r="J369" s="36"/>
      <c r="K369" s="36"/>
      <c r="L369" s="36"/>
      <c r="M369" s="43"/>
      <c r="N369" s="44"/>
      <c r="O369" s="50"/>
      <c r="P369" s="36"/>
      <c r="Q369" s="45"/>
      <c r="R369" s="45"/>
    </row>
    <row r="370" ht="22.5" customHeight="1">
      <c r="A370" s="32" t="s">
        <v>885</v>
      </c>
      <c r="B370" s="33"/>
      <c r="C370" s="35"/>
      <c r="D370" s="36"/>
      <c r="E370" s="37"/>
      <c r="F370" s="38"/>
      <c r="G370" s="39"/>
      <c r="H370" s="36"/>
      <c r="I370" s="36"/>
      <c r="J370" s="36"/>
      <c r="K370" s="36"/>
      <c r="L370" s="36"/>
      <c r="M370" s="43"/>
      <c r="N370" s="44"/>
      <c r="O370" s="50"/>
      <c r="P370" s="36"/>
      <c r="Q370" s="45"/>
      <c r="R370" s="45"/>
    </row>
    <row r="371" ht="22.5" customHeight="1">
      <c r="A371" s="32" t="s">
        <v>886</v>
      </c>
      <c r="B371" s="33"/>
      <c r="C371" s="35"/>
      <c r="D371" s="36"/>
      <c r="E371" s="37"/>
      <c r="F371" s="38"/>
      <c r="G371" s="39"/>
      <c r="H371" s="36"/>
      <c r="I371" s="36"/>
      <c r="J371" s="36"/>
      <c r="K371" s="36"/>
      <c r="L371" s="36"/>
      <c r="M371" s="43"/>
      <c r="N371" s="44"/>
      <c r="O371" s="50"/>
      <c r="P371" s="36"/>
      <c r="Q371" s="45"/>
      <c r="R371" s="45"/>
    </row>
    <row r="372" ht="22.5" customHeight="1">
      <c r="A372" s="36" t="s">
        <v>887</v>
      </c>
      <c r="B372" s="33"/>
      <c r="C372" s="35"/>
      <c r="D372" s="36"/>
      <c r="E372" s="37"/>
      <c r="F372" s="38"/>
      <c r="G372" s="39"/>
      <c r="H372" s="36"/>
      <c r="I372" s="36"/>
      <c r="J372" s="36"/>
      <c r="K372" s="36"/>
      <c r="L372" s="36"/>
      <c r="M372" s="43"/>
      <c r="N372" s="44"/>
      <c r="O372" s="50"/>
      <c r="P372" s="36"/>
      <c r="Q372" s="45"/>
      <c r="R372" s="45"/>
    </row>
    <row r="373" ht="22.5" customHeight="1">
      <c r="A373" s="32" t="s">
        <v>888</v>
      </c>
      <c r="B373" s="33"/>
      <c r="C373" s="35"/>
      <c r="D373" s="36"/>
      <c r="E373" s="37"/>
      <c r="F373" s="38"/>
      <c r="G373" s="39"/>
      <c r="H373" s="36"/>
      <c r="I373" s="36"/>
      <c r="J373" s="36"/>
      <c r="K373" s="36"/>
      <c r="L373" s="36"/>
      <c r="M373" s="43"/>
      <c r="N373" s="44"/>
      <c r="O373" s="50" t="s">
        <v>30</v>
      </c>
      <c r="P373" s="36" t="s">
        <v>31</v>
      </c>
      <c r="Q373" s="45"/>
      <c r="R373" s="45"/>
    </row>
    <row r="374" ht="22.5" customHeight="1">
      <c r="A374" s="36" t="s">
        <v>889</v>
      </c>
      <c r="B374" s="33"/>
      <c r="C374" s="35"/>
      <c r="D374" s="36"/>
      <c r="E374" s="37"/>
      <c r="F374" s="38"/>
      <c r="G374" s="39"/>
      <c r="H374" s="36"/>
      <c r="I374" s="36"/>
      <c r="J374" s="36"/>
      <c r="K374" s="36"/>
      <c r="L374" s="36"/>
      <c r="M374" s="43"/>
      <c r="N374" s="44"/>
      <c r="O374" s="50"/>
      <c r="P374" s="36"/>
      <c r="Q374" s="45"/>
      <c r="R374" s="45"/>
    </row>
    <row r="375" ht="22.5" customHeight="1">
      <c r="A375" s="32" t="s">
        <v>890</v>
      </c>
      <c r="B375" s="33"/>
      <c r="C375" s="35"/>
      <c r="D375" s="36"/>
      <c r="E375" s="37"/>
      <c r="F375" s="38"/>
      <c r="G375" s="39"/>
      <c r="H375" s="36"/>
      <c r="I375" s="36"/>
      <c r="J375" s="36"/>
      <c r="K375" s="36"/>
      <c r="L375" s="36"/>
      <c r="M375" s="43"/>
      <c r="N375" s="44"/>
      <c r="O375" s="50"/>
      <c r="P375" s="36"/>
      <c r="Q375" s="45"/>
      <c r="R375" s="45"/>
    </row>
    <row r="376" ht="22.5" customHeight="1">
      <c r="A376" s="32" t="s">
        <v>891</v>
      </c>
      <c r="B376" s="33"/>
      <c r="C376" s="35"/>
      <c r="D376" s="36"/>
      <c r="E376" s="37"/>
      <c r="F376" s="38"/>
      <c r="G376" s="39"/>
      <c r="H376" s="36"/>
      <c r="I376" s="36"/>
      <c r="J376" s="36"/>
      <c r="K376" s="36"/>
      <c r="L376" s="36"/>
      <c r="M376" s="43"/>
      <c r="N376" s="44"/>
      <c r="O376" s="50"/>
      <c r="P376" s="36"/>
      <c r="Q376" s="45"/>
      <c r="R376" s="45"/>
    </row>
    <row r="377" ht="22.5" customHeight="1">
      <c r="A377" s="32" t="s">
        <v>892</v>
      </c>
      <c r="B377" s="33"/>
      <c r="C377" s="35"/>
      <c r="D377" s="36"/>
      <c r="E377" s="37"/>
      <c r="F377" s="38"/>
      <c r="G377" s="39"/>
      <c r="H377" s="36"/>
      <c r="I377" s="36"/>
      <c r="J377" s="36"/>
      <c r="K377" s="36"/>
      <c r="L377" s="36"/>
      <c r="M377" s="43"/>
      <c r="N377" s="44"/>
      <c r="O377" s="50"/>
      <c r="P377" s="36"/>
      <c r="Q377" s="45"/>
      <c r="R377" s="45"/>
    </row>
    <row r="378" ht="22.5" customHeight="1">
      <c r="A378" s="36" t="s">
        <v>893</v>
      </c>
      <c r="B378" s="33"/>
      <c r="C378" s="35"/>
      <c r="D378" s="36"/>
      <c r="E378" s="37"/>
      <c r="F378" s="38"/>
      <c r="G378" s="39"/>
      <c r="H378" s="36"/>
      <c r="I378" s="36"/>
      <c r="J378" s="36"/>
      <c r="K378" s="36"/>
      <c r="L378" s="36"/>
      <c r="M378" s="43"/>
      <c r="N378" s="44"/>
      <c r="O378" s="50"/>
      <c r="P378" s="36"/>
      <c r="Q378" s="45"/>
      <c r="R378" s="45"/>
    </row>
    <row r="379" ht="22.5" customHeight="1">
      <c r="A379" s="32" t="s">
        <v>894</v>
      </c>
      <c r="B379" s="33"/>
      <c r="C379" s="35"/>
      <c r="D379" s="36"/>
      <c r="E379" s="37"/>
      <c r="F379" s="38"/>
      <c r="G379" s="39"/>
      <c r="H379" s="36"/>
      <c r="I379" s="36"/>
      <c r="J379" s="36"/>
      <c r="K379" s="36"/>
      <c r="L379" s="36"/>
      <c r="M379" s="43"/>
      <c r="N379" s="44"/>
      <c r="O379" s="50"/>
      <c r="P379" s="36"/>
      <c r="Q379" s="45"/>
      <c r="R379" s="45"/>
    </row>
    <row r="380" ht="22.5" customHeight="1">
      <c r="A380" s="32" t="s">
        <v>895</v>
      </c>
      <c r="B380" s="33"/>
      <c r="C380" s="35"/>
      <c r="D380" s="36"/>
      <c r="E380" s="37"/>
      <c r="F380" s="38"/>
      <c r="G380" s="39"/>
      <c r="H380" s="36"/>
      <c r="I380" s="36"/>
      <c r="J380" s="36"/>
      <c r="K380" s="36"/>
      <c r="L380" s="36"/>
      <c r="M380" s="43"/>
      <c r="N380" s="44"/>
      <c r="O380" s="50"/>
      <c r="P380" s="36"/>
      <c r="Q380" s="45"/>
      <c r="R380" s="45"/>
    </row>
    <row r="381" ht="22.5" customHeight="1">
      <c r="A381" s="32" t="s">
        <v>896</v>
      </c>
      <c r="B381" s="33"/>
      <c r="C381" s="35"/>
      <c r="D381" s="36"/>
      <c r="E381" s="37"/>
      <c r="F381" s="38"/>
      <c r="G381" s="39"/>
      <c r="H381" s="36"/>
      <c r="I381" s="36"/>
      <c r="J381" s="36"/>
      <c r="K381" s="36"/>
      <c r="L381" s="36"/>
      <c r="M381" s="43"/>
      <c r="N381" s="44"/>
      <c r="O381" s="50"/>
      <c r="P381" s="36"/>
      <c r="Q381" s="45"/>
      <c r="R381" s="45"/>
    </row>
    <row r="382" ht="22.5" customHeight="1">
      <c r="A382" s="32" t="s">
        <v>897</v>
      </c>
      <c r="B382" s="33"/>
      <c r="C382" s="35"/>
      <c r="D382" s="36"/>
      <c r="E382" s="37"/>
      <c r="F382" s="38"/>
      <c r="G382" s="39"/>
      <c r="H382" s="36"/>
      <c r="I382" s="36"/>
      <c r="J382" s="36"/>
      <c r="K382" s="36"/>
      <c r="L382" s="36"/>
      <c r="M382" s="43"/>
      <c r="N382" s="44"/>
      <c r="O382" s="50"/>
      <c r="P382" s="36"/>
      <c r="Q382" s="45"/>
      <c r="R382" s="45"/>
    </row>
    <row r="383" ht="22.5" customHeight="1">
      <c r="A383" s="32" t="s">
        <v>898</v>
      </c>
      <c r="B383" s="33"/>
      <c r="C383" s="35"/>
      <c r="D383" s="36"/>
      <c r="E383" s="37"/>
      <c r="F383" s="38"/>
      <c r="G383" s="39"/>
      <c r="H383" s="36"/>
      <c r="I383" s="36"/>
      <c r="J383" s="36"/>
      <c r="K383" s="36"/>
      <c r="L383" s="36"/>
      <c r="M383" s="43"/>
      <c r="N383" s="44"/>
      <c r="O383" s="50"/>
      <c r="P383" s="36"/>
      <c r="Q383" s="45"/>
      <c r="R383" s="45"/>
    </row>
    <row r="384" ht="22.5" customHeight="1">
      <c r="A384" s="32" t="s">
        <v>899</v>
      </c>
      <c r="B384" s="33"/>
      <c r="C384" s="35"/>
      <c r="D384" s="36"/>
      <c r="E384" s="37"/>
      <c r="F384" s="38"/>
      <c r="G384" s="39"/>
      <c r="H384" s="36"/>
      <c r="I384" s="36"/>
      <c r="J384" s="36"/>
      <c r="K384" s="36"/>
      <c r="L384" s="36"/>
      <c r="M384" s="43"/>
      <c r="N384" s="44"/>
      <c r="O384" s="50"/>
      <c r="P384" s="36"/>
      <c r="Q384" s="45"/>
      <c r="R384" s="45"/>
    </row>
    <row r="385" ht="22.5" customHeight="1">
      <c r="A385" s="32" t="s">
        <v>900</v>
      </c>
      <c r="B385" s="33"/>
      <c r="C385" s="35"/>
      <c r="D385" s="36"/>
      <c r="E385" s="37"/>
      <c r="F385" s="38"/>
      <c r="G385" s="39"/>
      <c r="H385" s="36"/>
      <c r="I385" s="36"/>
      <c r="J385" s="36"/>
      <c r="K385" s="36"/>
      <c r="L385" s="36"/>
      <c r="M385" s="43"/>
      <c r="N385" s="44"/>
      <c r="O385" s="50"/>
      <c r="P385" s="36"/>
      <c r="Q385" s="45"/>
      <c r="R385" s="45"/>
    </row>
    <row r="386" ht="22.5" customHeight="1">
      <c r="A386" s="32" t="s">
        <v>901</v>
      </c>
      <c r="B386" s="33"/>
      <c r="C386" s="35"/>
      <c r="D386" s="36"/>
      <c r="E386" s="37"/>
      <c r="F386" s="38"/>
      <c r="G386" s="39"/>
      <c r="H386" s="36"/>
      <c r="I386" s="36"/>
      <c r="J386" s="36"/>
      <c r="K386" s="36"/>
      <c r="L386" s="36"/>
      <c r="M386" s="43"/>
      <c r="N386" s="44"/>
      <c r="O386" s="50"/>
      <c r="P386" s="36"/>
      <c r="Q386" s="45"/>
      <c r="R386" s="45"/>
    </row>
    <row r="387" ht="22.5" customHeight="1">
      <c r="A387" s="32" t="s">
        <v>902</v>
      </c>
      <c r="B387" s="33"/>
      <c r="C387" s="35"/>
      <c r="D387" s="36"/>
      <c r="E387" s="37"/>
      <c r="F387" s="38"/>
      <c r="G387" s="39"/>
      <c r="H387" s="36"/>
      <c r="I387" s="36"/>
      <c r="J387" s="36"/>
      <c r="K387" s="36"/>
      <c r="L387" s="36"/>
      <c r="M387" s="43"/>
      <c r="N387" s="44"/>
      <c r="O387" s="50"/>
      <c r="P387" s="36"/>
      <c r="Q387" s="45"/>
      <c r="R387" s="45"/>
    </row>
    <row r="388" ht="22.5" customHeight="1">
      <c r="A388" s="32" t="s">
        <v>903</v>
      </c>
      <c r="B388" s="33"/>
      <c r="C388" s="35"/>
      <c r="D388" s="36"/>
      <c r="E388" s="37"/>
      <c r="F388" s="38"/>
      <c r="G388" s="39"/>
      <c r="H388" s="36"/>
      <c r="I388" s="36"/>
      <c r="J388" s="36"/>
      <c r="K388" s="36"/>
      <c r="L388" s="36"/>
      <c r="M388" s="43"/>
      <c r="N388" s="44"/>
      <c r="O388" s="50"/>
      <c r="P388" s="36"/>
      <c r="Q388" s="45"/>
      <c r="R388" s="45"/>
    </row>
    <row r="389" ht="22.5" customHeight="1">
      <c r="A389" s="32" t="s">
        <v>904</v>
      </c>
      <c r="B389" s="33"/>
      <c r="C389" s="35"/>
      <c r="D389" s="36"/>
      <c r="E389" s="37"/>
      <c r="F389" s="38"/>
      <c r="G389" s="39"/>
      <c r="H389" s="36"/>
      <c r="I389" s="36"/>
      <c r="J389" s="36"/>
      <c r="K389" s="36"/>
      <c r="L389" s="36"/>
      <c r="M389" s="43"/>
      <c r="N389" s="44"/>
      <c r="O389" s="50"/>
      <c r="P389" s="36"/>
      <c r="Q389" s="45"/>
      <c r="R389" s="45"/>
    </row>
    <row r="390" ht="22.5" customHeight="1">
      <c r="A390" s="36" t="s">
        <v>905</v>
      </c>
      <c r="B390" s="33"/>
      <c r="C390" s="35"/>
      <c r="D390" s="36"/>
      <c r="E390" s="37"/>
      <c r="F390" s="38"/>
      <c r="G390" s="39"/>
      <c r="H390" s="36"/>
      <c r="I390" s="36"/>
      <c r="J390" s="36"/>
      <c r="K390" s="36"/>
      <c r="L390" s="36"/>
      <c r="M390" s="43"/>
      <c r="N390" s="44"/>
      <c r="O390" s="50"/>
      <c r="P390" s="36"/>
      <c r="Q390" s="45"/>
      <c r="R390" s="45"/>
    </row>
    <row r="391" ht="22.5" customHeight="1">
      <c r="A391" s="32" t="s">
        <v>906</v>
      </c>
      <c r="B391" s="33"/>
      <c r="C391" s="35"/>
      <c r="D391" s="36"/>
      <c r="E391" s="37"/>
      <c r="F391" s="38"/>
      <c r="G391" s="39"/>
      <c r="H391" s="36"/>
      <c r="I391" s="36"/>
      <c r="J391" s="36"/>
      <c r="K391" s="36"/>
      <c r="L391" s="36"/>
      <c r="M391" s="43"/>
      <c r="N391" s="44"/>
      <c r="O391" s="50"/>
      <c r="P391" s="36"/>
      <c r="Q391" s="45"/>
      <c r="R391" s="45"/>
    </row>
    <row r="392" ht="22.5" customHeight="1">
      <c r="A392" s="32" t="s">
        <v>907</v>
      </c>
      <c r="B392" s="33"/>
      <c r="C392" s="35"/>
      <c r="D392" s="36"/>
      <c r="E392" s="37"/>
      <c r="F392" s="38"/>
      <c r="G392" s="39"/>
      <c r="H392" s="36"/>
      <c r="I392" s="36"/>
      <c r="J392" s="36"/>
      <c r="K392" s="36"/>
      <c r="L392" s="36"/>
      <c r="M392" s="43"/>
      <c r="N392" s="44"/>
      <c r="O392" s="50"/>
      <c r="P392" s="36"/>
      <c r="Q392" s="45"/>
      <c r="R392" s="45"/>
    </row>
    <row r="393" ht="22.5" customHeight="1">
      <c r="A393" s="32" t="s">
        <v>908</v>
      </c>
      <c r="B393" s="33"/>
      <c r="C393" s="35"/>
      <c r="D393" s="36"/>
      <c r="E393" s="37"/>
      <c r="F393" s="38"/>
      <c r="G393" s="39"/>
      <c r="H393" s="36"/>
      <c r="I393" s="36"/>
      <c r="J393" s="36"/>
      <c r="K393" s="36"/>
      <c r="L393" s="36"/>
      <c r="M393" s="43"/>
      <c r="N393" s="44"/>
      <c r="O393" s="50"/>
      <c r="P393" s="36"/>
      <c r="Q393" s="45"/>
      <c r="R393" s="45"/>
    </row>
    <row r="394" ht="22.5" customHeight="1">
      <c r="A394" s="32" t="s">
        <v>909</v>
      </c>
      <c r="B394" s="33"/>
      <c r="C394" s="35"/>
      <c r="D394" s="36"/>
      <c r="E394" s="37"/>
      <c r="F394" s="38"/>
      <c r="G394" s="39"/>
      <c r="H394" s="36"/>
      <c r="I394" s="36"/>
      <c r="J394" s="36"/>
      <c r="K394" s="36"/>
      <c r="L394" s="36"/>
      <c r="M394" s="43"/>
      <c r="N394" s="44"/>
      <c r="O394" s="50"/>
      <c r="P394" s="36"/>
      <c r="Q394" s="45"/>
      <c r="R394" s="45"/>
    </row>
    <row r="395" ht="22.5" customHeight="1">
      <c r="A395" s="32" t="s">
        <v>910</v>
      </c>
      <c r="B395" s="55"/>
      <c r="C395" s="56"/>
      <c r="D395" s="36"/>
      <c r="E395" s="37"/>
      <c r="F395" s="38"/>
      <c r="G395" s="39"/>
      <c r="H395" s="36"/>
      <c r="I395" s="36"/>
      <c r="J395" s="36"/>
      <c r="K395" s="36"/>
      <c r="L395" s="36"/>
      <c r="M395" s="57"/>
      <c r="N395" s="44"/>
      <c r="O395" s="50"/>
      <c r="P395" s="36"/>
      <c r="Q395" s="45"/>
      <c r="R395" s="45"/>
    </row>
    <row r="396" ht="22.5" customHeight="1">
      <c r="A396" s="32" t="s">
        <v>911</v>
      </c>
      <c r="B396" s="55"/>
      <c r="C396" s="56"/>
      <c r="D396" s="36"/>
      <c r="E396" s="37"/>
      <c r="F396" s="38"/>
      <c r="G396" s="39"/>
      <c r="H396" s="36"/>
      <c r="I396" s="36"/>
      <c r="J396" s="36"/>
      <c r="K396" s="36"/>
      <c r="L396" s="36"/>
      <c r="M396" s="57"/>
      <c r="N396" s="44"/>
      <c r="O396" s="50"/>
      <c r="P396" s="36"/>
      <c r="Q396" s="45"/>
      <c r="R396" s="45"/>
    </row>
    <row r="397" ht="22.5" customHeight="1">
      <c r="A397" s="32" t="s">
        <v>912</v>
      </c>
      <c r="B397" s="55"/>
      <c r="C397" s="56"/>
      <c r="D397" s="36"/>
      <c r="E397" s="66"/>
      <c r="F397" s="67"/>
      <c r="G397" s="68"/>
      <c r="N397" s="44"/>
      <c r="O397" s="36"/>
      <c r="P397" s="36"/>
      <c r="Q397" s="45"/>
      <c r="R397" s="45"/>
    </row>
    <row r="398" ht="22.5" customHeight="1">
      <c r="A398" s="32" t="s">
        <v>913</v>
      </c>
      <c r="B398" s="55"/>
      <c r="C398" s="56"/>
      <c r="D398" s="36"/>
      <c r="E398" s="37"/>
      <c r="F398" s="38"/>
      <c r="G398" s="39"/>
      <c r="H398" s="36"/>
      <c r="I398" s="36"/>
      <c r="J398" s="36"/>
      <c r="K398" s="36"/>
      <c r="L398" s="36"/>
      <c r="M398" s="57"/>
      <c r="N398" s="44"/>
      <c r="O398" s="50"/>
      <c r="P398" s="36"/>
      <c r="Q398" s="45"/>
      <c r="R398" s="45"/>
    </row>
    <row r="399" ht="22.5" customHeight="1">
      <c r="A399" s="32" t="s">
        <v>914</v>
      </c>
      <c r="B399" s="55"/>
      <c r="C399" s="56"/>
      <c r="D399" s="36"/>
      <c r="E399" s="37"/>
      <c r="F399" s="38"/>
      <c r="G399" s="39"/>
      <c r="H399" s="36"/>
      <c r="I399" s="36"/>
      <c r="J399" s="36"/>
      <c r="K399" s="36"/>
      <c r="L399" s="36"/>
      <c r="M399" s="57"/>
      <c r="N399" s="44"/>
      <c r="O399" s="50"/>
      <c r="P399" s="36"/>
      <c r="Q399" s="45"/>
      <c r="R399" s="45"/>
    </row>
    <row r="400" ht="22.5" customHeight="1">
      <c r="A400" s="32" t="s">
        <v>915</v>
      </c>
      <c r="B400" s="55"/>
      <c r="C400" s="56"/>
      <c r="D400" s="36"/>
      <c r="E400" s="37"/>
      <c r="F400" s="38"/>
      <c r="G400" s="39"/>
      <c r="H400" s="36"/>
      <c r="I400" s="36"/>
      <c r="J400" s="36"/>
      <c r="K400" s="36"/>
      <c r="L400" s="36"/>
      <c r="M400" s="57"/>
      <c r="N400" s="44"/>
      <c r="O400" s="50"/>
      <c r="P400" s="36"/>
      <c r="Q400" s="45"/>
      <c r="R400" s="45"/>
    </row>
    <row r="401" ht="22.5" customHeight="1">
      <c r="A401" s="32" t="s">
        <v>916</v>
      </c>
      <c r="B401" s="55"/>
      <c r="C401" s="56"/>
      <c r="D401" s="36"/>
      <c r="E401" s="66"/>
      <c r="F401" s="38"/>
      <c r="G401" s="39"/>
      <c r="H401" s="36"/>
      <c r="I401" s="36"/>
      <c r="J401" s="36"/>
      <c r="K401" s="36"/>
      <c r="L401" s="36"/>
      <c r="M401" s="57"/>
      <c r="N401" s="44"/>
      <c r="O401" s="36"/>
      <c r="P401" s="36"/>
      <c r="Q401" s="45"/>
      <c r="R401" s="45"/>
    </row>
    <row r="402" ht="22.5" customHeight="1">
      <c r="A402" s="32" t="s">
        <v>917</v>
      </c>
      <c r="B402" s="55"/>
      <c r="C402" s="56"/>
      <c r="D402" s="36"/>
      <c r="E402" s="37"/>
      <c r="F402" s="38"/>
      <c r="G402" s="39"/>
      <c r="H402" s="36"/>
      <c r="I402" s="36"/>
      <c r="J402" s="36"/>
      <c r="K402" s="36"/>
      <c r="L402" s="36"/>
      <c r="M402" s="57"/>
      <c r="N402" s="44"/>
      <c r="O402" s="50" t="s">
        <v>30</v>
      </c>
      <c r="P402" s="36" t="s">
        <v>31</v>
      </c>
      <c r="Q402" s="45"/>
      <c r="R402" s="45"/>
    </row>
    <row r="403" ht="22.5" customHeight="1">
      <c r="A403" s="32" t="s">
        <v>918</v>
      </c>
      <c r="B403" s="55"/>
      <c r="C403" s="56"/>
      <c r="D403" s="36"/>
      <c r="E403" s="37"/>
      <c r="F403" s="38"/>
      <c r="G403" s="39"/>
      <c r="H403" s="36"/>
      <c r="I403" s="36"/>
      <c r="J403" s="36"/>
      <c r="K403" s="36"/>
      <c r="L403" s="36"/>
      <c r="M403" s="57"/>
      <c r="N403" s="44"/>
      <c r="O403" s="36"/>
      <c r="P403" s="36"/>
      <c r="Q403" s="45"/>
      <c r="R403" s="45"/>
    </row>
    <row r="404" ht="22.5" customHeight="1">
      <c r="A404" s="32" t="s">
        <v>919</v>
      </c>
      <c r="B404" s="55"/>
      <c r="C404" s="56"/>
      <c r="D404" s="36"/>
      <c r="E404" s="66"/>
      <c r="F404" s="38"/>
      <c r="G404" s="39"/>
      <c r="H404" s="36"/>
      <c r="I404" s="36"/>
      <c r="J404" s="36"/>
      <c r="K404" s="36"/>
      <c r="L404" s="36"/>
      <c r="M404" s="57"/>
      <c r="N404" s="44"/>
      <c r="O404" s="36" t="s">
        <v>93</v>
      </c>
      <c r="P404" s="36" t="s">
        <v>31</v>
      </c>
      <c r="Q404" s="45"/>
      <c r="R404" s="45"/>
    </row>
    <row r="405" ht="22.5" customHeight="1">
      <c r="A405" s="32" t="s">
        <v>920</v>
      </c>
      <c r="B405" s="55"/>
      <c r="C405" s="56"/>
      <c r="D405" s="36"/>
      <c r="E405" s="66"/>
      <c r="F405" s="38"/>
      <c r="G405" s="39"/>
      <c r="H405" s="36"/>
      <c r="I405" s="36"/>
      <c r="J405" s="36"/>
      <c r="K405" s="36"/>
      <c r="L405" s="36"/>
      <c r="M405" s="57"/>
      <c r="N405" s="44"/>
      <c r="O405" s="36"/>
      <c r="P405" s="36"/>
      <c r="Q405" s="45"/>
      <c r="R405" s="45"/>
    </row>
    <row r="406" ht="22.5" customHeight="1">
      <c r="A406" s="32" t="s">
        <v>921</v>
      </c>
      <c r="B406" s="55"/>
      <c r="C406" s="56"/>
      <c r="D406" s="36"/>
      <c r="E406" s="37"/>
      <c r="F406" s="38"/>
      <c r="G406" s="39"/>
      <c r="H406" s="36"/>
      <c r="I406" s="36"/>
      <c r="J406" s="36"/>
      <c r="K406" s="36"/>
      <c r="L406" s="36"/>
      <c r="M406" s="57"/>
      <c r="N406" s="44"/>
      <c r="O406" s="50"/>
      <c r="P406" s="36"/>
      <c r="Q406" s="45"/>
      <c r="R406" s="45"/>
    </row>
    <row r="407" ht="22.5" customHeight="1">
      <c r="A407" s="32" t="s">
        <v>922</v>
      </c>
      <c r="B407" s="55"/>
      <c r="C407" s="56"/>
      <c r="D407" s="36"/>
      <c r="E407" s="66"/>
      <c r="F407" s="38"/>
      <c r="G407" s="39"/>
      <c r="H407" s="36"/>
      <c r="I407" s="36"/>
      <c r="J407" s="36"/>
      <c r="K407" s="36"/>
      <c r="L407" s="36"/>
      <c r="M407" s="57"/>
      <c r="N407" s="44"/>
      <c r="O407" s="36"/>
      <c r="P407" s="36"/>
      <c r="Q407" s="45"/>
      <c r="R407" s="45"/>
    </row>
    <row r="408" ht="22.5" customHeight="1">
      <c r="A408" s="32" t="s">
        <v>923</v>
      </c>
      <c r="B408" s="55"/>
      <c r="C408" s="56"/>
      <c r="D408" s="36"/>
      <c r="E408" s="37"/>
      <c r="F408" s="38"/>
      <c r="G408" s="39"/>
      <c r="H408" s="36"/>
      <c r="I408" s="36"/>
      <c r="J408" s="36"/>
      <c r="K408" s="36"/>
      <c r="L408" s="36"/>
      <c r="M408" s="57"/>
      <c r="N408" s="44"/>
      <c r="O408" s="36"/>
      <c r="P408" s="36"/>
      <c r="Q408" s="45"/>
      <c r="R408" s="45"/>
    </row>
    <row r="409" ht="22.5" customHeight="1">
      <c r="A409" s="32" t="s">
        <v>924</v>
      </c>
      <c r="B409" s="55"/>
      <c r="C409" s="56"/>
      <c r="D409" s="36"/>
      <c r="E409" s="37"/>
      <c r="F409" s="38"/>
      <c r="G409" s="39"/>
      <c r="H409" s="36"/>
      <c r="I409" s="36"/>
      <c r="J409" s="36"/>
      <c r="K409" s="36"/>
      <c r="L409" s="36"/>
      <c r="M409" s="57"/>
      <c r="N409" s="44"/>
      <c r="O409" s="36"/>
      <c r="P409" s="36"/>
      <c r="Q409" s="45"/>
      <c r="R409" s="45"/>
    </row>
    <row r="410" ht="22.5" customHeight="1">
      <c r="A410" s="32" t="s">
        <v>925</v>
      </c>
      <c r="B410" s="55"/>
      <c r="C410" s="56"/>
      <c r="D410" s="36"/>
      <c r="E410" s="37"/>
      <c r="F410" s="69"/>
      <c r="G410" s="70"/>
      <c r="H410" s="63"/>
      <c r="I410" s="63"/>
      <c r="J410" s="63"/>
      <c r="K410" s="63"/>
      <c r="L410" s="63"/>
      <c r="M410" s="57"/>
      <c r="N410" s="44"/>
      <c r="O410" s="36"/>
      <c r="P410" s="36"/>
      <c r="Q410" s="45"/>
      <c r="R410" s="45"/>
    </row>
    <row r="411" ht="22.5" customHeight="1">
      <c r="A411" s="32" t="s">
        <v>926</v>
      </c>
      <c r="B411" s="55"/>
      <c r="C411" s="56"/>
      <c r="D411" s="36"/>
      <c r="E411" s="37"/>
      <c r="F411" s="38"/>
      <c r="G411" s="39"/>
      <c r="H411" s="36"/>
      <c r="I411" s="36"/>
      <c r="J411" s="36"/>
      <c r="K411" s="36"/>
      <c r="L411" s="36"/>
      <c r="M411" s="57"/>
      <c r="N411" s="44"/>
      <c r="O411" s="36"/>
      <c r="P411" s="36"/>
      <c r="Q411" s="45"/>
      <c r="R411" s="45"/>
    </row>
    <row r="412" ht="22.5" customHeight="1">
      <c r="A412" s="32" t="s">
        <v>927</v>
      </c>
      <c r="B412" s="55"/>
      <c r="C412" s="56"/>
      <c r="D412" s="36"/>
      <c r="E412" s="37"/>
      <c r="F412" s="38"/>
      <c r="G412" s="39"/>
      <c r="H412" s="36"/>
      <c r="I412" s="36"/>
      <c r="J412" s="36"/>
      <c r="K412" s="36"/>
      <c r="L412" s="36"/>
      <c r="M412" s="57"/>
      <c r="N412" s="44"/>
      <c r="O412" s="36"/>
      <c r="P412" s="36"/>
      <c r="Q412" s="45"/>
      <c r="R412" s="45"/>
    </row>
    <row r="413" ht="22.5" customHeight="1">
      <c r="A413" s="32" t="s">
        <v>928</v>
      </c>
      <c r="B413" s="55"/>
      <c r="C413" s="56"/>
      <c r="D413" s="36"/>
      <c r="E413" s="66"/>
      <c r="F413" s="38"/>
      <c r="G413" s="39"/>
      <c r="H413" s="36"/>
      <c r="I413" s="36"/>
      <c r="J413" s="36"/>
      <c r="K413" s="36"/>
      <c r="L413" s="36"/>
      <c r="M413" s="57"/>
      <c r="N413" s="44"/>
      <c r="O413" s="36"/>
      <c r="P413" s="36"/>
      <c r="Q413" s="45"/>
      <c r="R413" s="45"/>
    </row>
    <row r="414" ht="22.5" customHeight="1">
      <c r="A414" s="32" t="s">
        <v>929</v>
      </c>
      <c r="B414" s="55"/>
      <c r="C414" s="56"/>
      <c r="D414" s="36"/>
      <c r="E414" s="37"/>
      <c r="F414" s="38"/>
      <c r="G414" s="39"/>
      <c r="H414" s="36"/>
      <c r="I414" s="36"/>
      <c r="J414" s="36"/>
      <c r="K414" s="36"/>
      <c r="L414" s="36"/>
      <c r="M414" s="57"/>
      <c r="N414" s="44"/>
      <c r="O414" s="36"/>
      <c r="P414" s="36"/>
      <c r="Q414" s="45"/>
      <c r="R414" s="45"/>
    </row>
    <row r="415" ht="22.5" customHeight="1">
      <c r="A415" s="32" t="s">
        <v>930</v>
      </c>
      <c r="B415" s="55"/>
      <c r="C415" s="56"/>
      <c r="D415" s="36"/>
      <c r="E415" s="37"/>
      <c r="F415" s="38"/>
      <c r="G415" s="39"/>
      <c r="H415" s="36"/>
      <c r="I415" s="36"/>
      <c r="J415" s="36"/>
      <c r="K415" s="36"/>
      <c r="L415" s="36"/>
      <c r="M415" s="57"/>
      <c r="N415" s="44"/>
      <c r="O415" s="36"/>
      <c r="P415" s="36"/>
      <c r="Q415" s="45"/>
      <c r="R415" s="45"/>
    </row>
    <row r="416" ht="22.5" customHeight="1">
      <c r="A416" s="32" t="s">
        <v>931</v>
      </c>
      <c r="B416" s="55"/>
      <c r="C416" s="56"/>
      <c r="D416" s="36"/>
      <c r="E416" s="37"/>
      <c r="F416" s="38"/>
      <c r="G416" s="39"/>
      <c r="H416" s="36"/>
      <c r="I416" s="36"/>
      <c r="J416" s="36"/>
      <c r="K416" s="36"/>
      <c r="L416" s="36"/>
      <c r="M416" s="57"/>
      <c r="N416" s="44"/>
      <c r="O416" s="36"/>
      <c r="P416" s="36"/>
      <c r="Q416" s="45"/>
      <c r="R416" s="45"/>
    </row>
    <row r="417" ht="22.5" customHeight="1">
      <c r="A417" s="32" t="s">
        <v>932</v>
      </c>
      <c r="B417" s="55"/>
      <c r="C417" s="56"/>
      <c r="D417" s="36"/>
      <c r="E417" s="37"/>
      <c r="F417" s="38"/>
      <c r="G417" s="39"/>
      <c r="H417" s="36"/>
      <c r="I417" s="36"/>
      <c r="J417" s="36"/>
      <c r="K417" s="36"/>
      <c r="L417" s="36"/>
      <c r="M417" s="57"/>
      <c r="N417" s="44"/>
      <c r="O417" s="36"/>
      <c r="P417" s="36"/>
      <c r="Q417" s="45"/>
      <c r="R417" s="45"/>
    </row>
    <row r="418" ht="22.5" customHeight="1">
      <c r="A418" s="32" t="s">
        <v>933</v>
      </c>
      <c r="B418" s="55"/>
      <c r="C418" s="56"/>
      <c r="D418" s="36"/>
      <c r="E418" s="37"/>
      <c r="F418" s="38"/>
      <c r="G418" s="39"/>
      <c r="H418" s="36"/>
      <c r="I418" s="36"/>
      <c r="J418" s="36"/>
      <c r="K418" s="36"/>
      <c r="L418" s="36"/>
      <c r="M418" s="57"/>
      <c r="N418" s="44"/>
      <c r="O418" s="36"/>
      <c r="P418" s="36"/>
      <c r="Q418" s="45"/>
      <c r="R418" s="45"/>
    </row>
    <row r="419" ht="22.5" customHeight="1">
      <c r="A419" s="32" t="s">
        <v>934</v>
      </c>
      <c r="B419" s="55"/>
      <c r="C419" s="56"/>
      <c r="D419" s="36"/>
      <c r="E419" s="37"/>
      <c r="F419" s="69"/>
      <c r="G419" s="39"/>
      <c r="H419" s="36"/>
      <c r="I419" s="36"/>
      <c r="J419" s="36"/>
      <c r="K419" s="36"/>
      <c r="L419" s="36"/>
      <c r="M419" s="57"/>
      <c r="N419" s="44"/>
      <c r="O419" s="36" t="s">
        <v>30</v>
      </c>
      <c r="P419" s="36" t="s">
        <v>31</v>
      </c>
      <c r="Q419" s="45"/>
      <c r="R419" s="45"/>
    </row>
    <row r="420" ht="22.5" customHeight="1">
      <c r="A420" s="32" t="s">
        <v>935</v>
      </c>
      <c r="B420" s="55"/>
      <c r="C420" s="56"/>
      <c r="D420" s="36"/>
      <c r="E420" s="37"/>
      <c r="F420" s="69"/>
      <c r="G420" s="39"/>
      <c r="H420" s="36"/>
      <c r="I420" s="36"/>
      <c r="J420" s="36"/>
      <c r="K420" s="36"/>
      <c r="L420" s="36"/>
      <c r="M420" s="57"/>
      <c r="N420" s="44"/>
      <c r="O420" s="36" t="s">
        <v>93</v>
      </c>
      <c r="P420" s="36" t="s">
        <v>31</v>
      </c>
      <c r="Q420" s="45"/>
      <c r="R420" s="45"/>
    </row>
    <row r="421" ht="22.5" customHeight="1">
      <c r="A421" s="32" t="s">
        <v>936</v>
      </c>
      <c r="B421" s="55"/>
      <c r="C421" s="56"/>
      <c r="D421" s="36"/>
      <c r="E421" s="37"/>
      <c r="F421" s="69"/>
      <c r="G421" s="39"/>
      <c r="H421" s="36"/>
      <c r="I421" s="36"/>
      <c r="J421" s="36"/>
      <c r="K421" s="36"/>
      <c r="L421" s="36"/>
      <c r="M421" s="57"/>
      <c r="N421" s="44"/>
      <c r="O421" s="36"/>
      <c r="P421" s="36"/>
      <c r="Q421" s="45"/>
      <c r="R421" s="45"/>
    </row>
    <row r="422" ht="22.5" customHeight="1">
      <c r="A422" s="32" t="s">
        <v>937</v>
      </c>
      <c r="B422" s="55"/>
      <c r="C422" s="56"/>
      <c r="D422" s="36"/>
      <c r="E422" s="37"/>
      <c r="F422" s="69"/>
      <c r="G422" s="39"/>
      <c r="H422" s="36"/>
      <c r="I422" s="36"/>
      <c r="J422" s="36"/>
      <c r="K422" s="36"/>
      <c r="L422" s="36"/>
      <c r="M422" s="57"/>
      <c r="N422" s="44"/>
      <c r="O422" s="36"/>
      <c r="P422" s="36"/>
      <c r="Q422" s="45"/>
      <c r="R422" s="45"/>
    </row>
    <row r="423" ht="22.5" customHeight="1">
      <c r="A423" s="32" t="s">
        <v>938</v>
      </c>
      <c r="B423" s="55"/>
      <c r="C423" s="56"/>
      <c r="D423" s="36"/>
      <c r="E423" s="37"/>
      <c r="F423" s="69"/>
      <c r="G423" s="39"/>
      <c r="H423" s="36"/>
      <c r="I423" s="36"/>
      <c r="J423" s="36"/>
      <c r="K423" s="36"/>
      <c r="L423" s="36"/>
      <c r="M423" s="57"/>
      <c r="N423" s="44"/>
      <c r="O423" s="36" t="s">
        <v>30</v>
      </c>
      <c r="P423" s="36" t="s">
        <v>31</v>
      </c>
      <c r="Q423" s="45"/>
      <c r="R423" s="45"/>
    </row>
    <row r="424" ht="22.5" customHeight="1">
      <c r="A424" s="32" t="s">
        <v>939</v>
      </c>
      <c r="B424" s="55"/>
      <c r="C424" s="56"/>
      <c r="D424" s="36"/>
      <c r="E424" s="37"/>
      <c r="F424" s="69"/>
      <c r="G424" s="39"/>
      <c r="H424" s="36"/>
      <c r="I424" s="36"/>
      <c r="J424" s="36"/>
      <c r="K424" s="36"/>
      <c r="L424" s="36"/>
      <c r="M424" s="57"/>
      <c r="N424" s="44"/>
      <c r="O424" s="36"/>
      <c r="P424" s="36"/>
      <c r="Q424" s="45"/>
      <c r="R424" s="45"/>
    </row>
    <row r="425" ht="22.5" customHeight="1">
      <c r="A425" s="32" t="s">
        <v>940</v>
      </c>
      <c r="B425" s="55"/>
      <c r="C425" s="56"/>
      <c r="D425" s="36"/>
      <c r="E425" s="37"/>
      <c r="F425" s="69"/>
      <c r="G425" s="39"/>
      <c r="H425" s="36"/>
      <c r="I425" s="36"/>
      <c r="J425" s="36"/>
      <c r="K425" s="36"/>
      <c r="L425" s="36"/>
      <c r="M425" s="57"/>
      <c r="N425" s="44"/>
      <c r="O425" s="36"/>
      <c r="P425" s="36"/>
      <c r="Q425" s="45"/>
      <c r="R425" s="45"/>
    </row>
    <row r="426" ht="22.5" customHeight="1">
      <c r="A426" s="32" t="s">
        <v>941</v>
      </c>
      <c r="B426" s="55"/>
      <c r="C426" s="56"/>
      <c r="D426" s="36"/>
      <c r="E426" s="37"/>
      <c r="F426" s="69"/>
      <c r="G426" s="39"/>
      <c r="H426" s="36"/>
      <c r="I426" s="36"/>
      <c r="J426" s="36"/>
      <c r="K426" s="36"/>
      <c r="L426" s="36"/>
      <c r="M426" s="57"/>
      <c r="N426" s="44"/>
      <c r="O426" s="36"/>
      <c r="P426" s="36"/>
      <c r="Q426" s="45"/>
      <c r="R426" s="45"/>
    </row>
    <row r="427" ht="22.5" customHeight="1">
      <c r="A427" s="32" t="s">
        <v>942</v>
      </c>
      <c r="B427" s="55"/>
      <c r="C427" s="56"/>
      <c r="D427" s="36"/>
      <c r="E427" s="37"/>
      <c r="F427" s="69"/>
      <c r="G427" s="39"/>
      <c r="H427" s="36"/>
      <c r="I427" s="36"/>
      <c r="J427" s="36"/>
      <c r="K427" s="36"/>
      <c r="L427" s="36"/>
      <c r="M427" s="57"/>
      <c r="N427" s="44"/>
      <c r="O427" s="36"/>
      <c r="P427" s="36"/>
      <c r="Q427" s="45"/>
      <c r="R427" s="45"/>
    </row>
    <row r="428" ht="22.5" customHeight="1">
      <c r="A428" s="32" t="s">
        <v>943</v>
      </c>
      <c r="B428" s="55"/>
      <c r="C428" s="56"/>
      <c r="D428" s="36"/>
      <c r="E428" s="37"/>
      <c r="F428" s="69"/>
      <c r="G428" s="39"/>
      <c r="H428" s="36"/>
      <c r="I428" s="36"/>
      <c r="J428" s="36"/>
      <c r="K428" s="36"/>
      <c r="L428" s="36"/>
      <c r="M428" s="57"/>
      <c r="N428" s="44"/>
      <c r="O428" s="36"/>
      <c r="P428" s="36"/>
      <c r="Q428" s="45"/>
      <c r="R428" s="45"/>
    </row>
    <row r="429" ht="22.5" customHeight="1">
      <c r="A429" s="32" t="s">
        <v>944</v>
      </c>
      <c r="B429" s="55"/>
      <c r="C429" s="56"/>
      <c r="D429" s="36"/>
      <c r="E429" s="37"/>
      <c r="F429" s="69"/>
      <c r="G429" s="39"/>
      <c r="H429" s="36"/>
      <c r="I429" s="36"/>
      <c r="J429" s="36"/>
      <c r="K429" s="36"/>
      <c r="L429" s="36"/>
      <c r="M429" s="57"/>
      <c r="N429" s="44"/>
      <c r="O429" s="36"/>
      <c r="P429" s="36"/>
      <c r="Q429" s="45"/>
      <c r="R429" s="45"/>
    </row>
    <row r="430" ht="22.5" customHeight="1">
      <c r="A430" s="32" t="s">
        <v>945</v>
      </c>
      <c r="B430" s="55"/>
      <c r="C430" s="56"/>
      <c r="D430" s="36"/>
      <c r="E430" s="37"/>
      <c r="F430" s="69"/>
      <c r="G430" s="39"/>
      <c r="H430" s="36"/>
      <c r="I430" s="36"/>
      <c r="J430" s="36"/>
      <c r="K430" s="36"/>
      <c r="L430" s="36"/>
      <c r="M430" s="57"/>
      <c r="N430" s="44"/>
      <c r="O430" s="36"/>
      <c r="P430" s="36"/>
      <c r="Q430" s="45"/>
      <c r="R430" s="45"/>
    </row>
    <row r="431" ht="22.5" customHeight="1">
      <c r="A431" s="32" t="s">
        <v>946</v>
      </c>
      <c r="B431" s="55"/>
      <c r="C431" s="56"/>
      <c r="D431" s="36"/>
      <c r="E431" s="37"/>
      <c r="F431" s="69"/>
      <c r="G431" s="39"/>
      <c r="H431" s="36"/>
      <c r="I431" s="36"/>
      <c r="J431" s="36"/>
      <c r="K431" s="36"/>
      <c r="L431" s="36"/>
      <c r="M431" s="57"/>
      <c r="N431" s="44"/>
      <c r="O431" s="36"/>
      <c r="P431" s="36"/>
      <c r="Q431" s="45"/>
      <c r="R431" s="45"/>
    </row>
    <row r="432" ht="22.5" customHeight="1">
      <c r="A432" s="32" t="s">
        <v>947</v>
      </c>
      <c r="B432" s="55"/>
      <c r="C432" s="56"/>
      <c r="D432" s="36"/>
      <c r="E432" s="37"/>
      <c r="F432" s="69"/>
      <c r="G432" s="39"/>
      <c r="H432" s="36"/>
      <c r="I432" s="36"/>
      <c r="J432" s="36"/>
      <c r="K432" s="36"/>
      <c r="L432" s="36"/>
      <c r="M432" s="57"/>
      <c r="N432" s="44"/>
      <c r="O432" s="36"/>
      <c r="P432" s="36"/>
      <c r="Q432" s="45"/>
      <c r="R432" s="45"/>
    </row>
    <row r="433" ht="22.5" customHeight="1">
      <c r="A433" s="32" t="s">
        <v>948</v>
      </c>
      <c r="B433" s="55"/>
      <c r="C433" s="56"/>
      <c r="D433" s="36"/>
      <c r="E433" s="37"/>
      <c r="F433" s="69"/>
      <c r="G433" s="39"/>
      <c r="H433" s="36"/>
      <c r="I433" s="36"/>
      <c r="J433" s="36"/>
      <c r="K433" s="36"/>
      <c r="L433" s="36"/>
      <c r="M433" s="57"/>
      <c r="N433" s="44"/>
      <c r="O433" s="36"/>
      <c r="P433" s="36"/>
      <c r="Q433" s="45"/>
      <c r="R433" s="45"/>
    </row>
    <row r="434" ht="22.5" customHeight="1">
      <c r="A434" s="32" t="s">
        <v>949</v>
      </c>
      <c r="B434" s="55"/>
      <c r="C434" s="56"/>
      <c r="D434" s="36"/>
      <c r="E434" s="37"/>
      <c r="F434" s="69"/>
      <c r="G434" s="39"/>
      <c r="H434" s="36"/>
      <c r="I434" s="36"/>
      <c r="J434" s="36"/>
      <c r="K434" s="36"/>
      <c r="L434" s="36"/>
      <c r="M434" s="57"/>
      <c r="N434" s="44"/>
      <c r="O434" s="36" t="s">
        <v>30</v>
      </c>
      <c r="P434" s="36" t="s">
        <v>31</v>
      </c>
      <c r="Q434" s="45"/>
      <c r="R434" s="45"/>
    </row>
    <row r="435" ht="22.5" customHeight="1">
      <c r="A435" s="32" t="s">
        <v>950</v>
      </c>
      <c r="B435" s="55"/>
      <c r="C435" s="56"/>
      <c r="D435" s="36"/>
      <c r="E435" s="37"/>
      <c r="F435" s="69"/>
      <c r="G435" s="39"/>
      <c r="H435" s="36"/>
      <c r="I435" s="36"/>
      <c r="J435" s="36"/>
      <c r="K435" s="36"/>
      <c r="L435" s="36"/>
      <c r="M435" s="57"/>
      <c r="N435" s="44"/>
      <c r="O435" s="36"/>
      <c r="P435" s="36"/>
      <c r="Q435" s="45"/>
      <c r="R435" s="45"/>
    </row>
    <row r="436" ht="22.5" customHeight="1">
      <c r="A436" s="32" t="s">
        <v>951</v>
      </c>
      <c r="B436" s="55"/>
      <c r="C436" s="56"/>
      <c r="D436" s="36"/>
      <c r="E436" s="37"/>
      <c r="F436" s="69"/>
      <c r="G436" s="39"/>
      <c r="H436" s="36"/>
      <c r="I436" s="36"/>
      <c r="J436" s="36"/>
      <c r="K436" s="36"/>
      <c r="L436" s="36"/>
      <c r="M436" s="57"/>
      <c r="N436" s="44"/>
      <c r="O436" s="71"/>
      <c r="P436" s="71"/>
      <c r="Q436" s="45"/>
      <c r="R436" s="45"/>
    </row>
    <row r="437" ht="22.5" customHeight="1">
      <c r="A437" s="32" t="s">
        <v>952</v>
      </c>
      <c r="B437" s="55"/>
      <c r="C437" s="56"/>
      <c r="D437" s="36"/>
      <c r="E437" s="37"/>
      <c r="F437" s="69"/>
      <c r="G437" s="39"/>
      <c r="H437" s="36"/>
      <c r="I437" s="36"/>
      <c r="J437" s="36"/>
      <c r="K437" s="36"/>
      <c r="L437" s="36"/>
      <c r="M437" s="57"/>
      <c r="N437" s="44"/>
      <c r="O437" s="71"/>
      <c r="P437" s="71"/>
      <c r="Q437" s="45"/>
      <c r="R437" s="45"/>
    </row>
    <row r="438" ht="22.5" customHeight="1">
      <c r="A438" s="32" t="s">
        <v>953</v>
      </c>
      <c r="B438" s="55"/>
      <c r="C438" s="56"/>
      <c r="D438" s="36"/>
      <c r="E438" s="37"/>
      <c r="F438" s="69"/>
      <c r="G438" s="39"/>
      <c r="H438" s="36"/>
      <c r="I438" s="36"/>
      <c r="J438" s="36"/>
      <c r="K438" s="36"/>
      <c r="L438" s="36"/>
      <c r="M438" s="57"/>
      <c r="N438" s="44"/>
      <c r="O438" s="71"/>
      <c r="P438" s="71"/>
      <c r="Q438" s="45"/>
      <c r="R438" s="45"/>
    </row>
    <row r="439" ht="22.5" customHeight="1">
      <c r="A439" s="32" t="s">
        <v>954</v>
      </c>
      <c r="B439" s="55"/>
      <c r="C439" s="56"/>
      <c r="D439" s="36"/>
      <c r="E439" s="37"/>
      <c r="F439" s="69"/>
      <c r="G439" s="39"/>
      <c r="H439" s="36"/>
      <c r="I439" s="36"/>
      <c r="J439" s="36"/>
      <c r="K439" s="36"/>
      <c r="L439" s="36"/>
      <c r="M439" s="57"/>
      <c r="N439" s="44"/>
      <c r="O439" s="71"/>
      <c r="P439" s="71"/>
      <c r="Q439" s="45"/>
      <c r="R439" s="45"/>
    </row>
    <row r="440" ht="22.5" customHeight="1">
      <c r="A440" s="32" t="s">
        <v>955</v>
      </c>
      <c r="B440" s="55"/>
      <c r="C440" s="56"/>
      <c r="D440" s="36"/>
      <c r="E440" s="37"/>
      <c r="F440" s="69"/>
      <c r="G440" s="39"/>
      <c r="H440" s="36"/>
      <c r="I440" s="36"/>
      <c r="J440" s="36"/>
      <c r="K440" s="36"/>
      <c r="L440" s="36"/>
      <c r="M440" s="57"/>
      <c r="N440" s="44"/>
      <c r="O440" s="71"/>
      <c r="P440" s="71"/>
      <c r="Q440" s="45"/>
      <c r="R440" s="45"/>
    </row>
    <row r="441" ht="22.5" customHeight="1">
      <c r="A441" s="32" t="s">
        <v>956</v>
      </c>
      <c r="B441" s="55"/>
      <c r="C441" s="56"/>
      <c r="D441" s="36"/>
      <c r="E441" s="37"/>
      <c r="F441" s="69"/>
      <c r="G441" s="39"/>
      <c r="H441" s="36"/>
      <c r="I441" s="36"/>
      <c r="J441" s="36"/>
      <c r="K441" s="36"/>
      <c r="L441" s="36"/>
      <c r="M441" s="57"/>
      <c r="N441" s="44"/>
      <c r="O441" s="72" t="s">
        <v>30</v>
      </c>
      <c r="P441" s="72" t="s">
        <v>31</v>
      </c>
      <c r="Q441" s="45"/>
      <c r="R441" s="45"/>
    </row>
    <row r="442" ht="22.5" customHeight="1">
      <c r="A442" s="32" t="s">
        <v>957</v>
      </c>
      <c r="B442" s="55"/>
      <c r="C442" s="56"/>
      <c r="D442" s="36"/>
      <c r="E442" s="37"/>
      <c r="F442" s="69"/>
      <c r="G442" s="39"/>
      <c r="H442" s="36"/>
      <c r="I442" s="36"/>
      <c r="J442" s="36"/>
      <c r="K442" s="36"/>
      <c r="L442" s="36"/>
      <c r="M442" s="57"/>
      <c r="N442" s="44"/>
      <c r="O442" s="71"/>
      <c r="P442" s="71"/>
      <c r="Q442" s="45"/>
      <c r="R442" s="45"/>
    </row>
    <row r="443" ht="22.5" customHeight="1">
      <c r="A443" s="32" t="s">
        <v>958</v>
      </c>
      <c r="B443" s="55"/>
      <c r="C443" s="56"/>
      <c r="D443" s="36"/>
      <c r="E443" s="37"/>
      <c r="F443" s="69"/>
      <c r="G443" s="39"/>
      <c r="H443" s="36"/>
      <c r="I443" s="36"/>
      <c r="J443" s="36"/>
      <c r="K443" s="36"/>
      <c r="L443" s="36"/>
      <c r="M443" s="57"/>
      <c r="N443" s="44"/>
      <c r="O443" s="71"/>
      <c r="P443" s="71"/>
      <c r="Q443" s="45"/>
      <c r="R443" s="45"/>
    </row>
    <row r="444" ht="22.5" customHeight="1">
      <c r="A444" s="32" t="s">
        <v>959</v>
      </c>
      <c r="B444" s="55"/>
      <c r="C444" s="56"/>
      <c r="D444" s="36"/>
      <c r="E444" s="37"/>
      <c r="F444" s="69"/>
      <c r="G444" s="39"/>
      <c r="H444" s="36"/>
      <c r="I444" s="36"/>
      <c r="J444" s="36"/>
      <c r="K444" s="36"/>
      <c r="L444" s="36"/>
      <c r="M444" s="57"/>
      <c r="N444" s="44"/>
      <c r="O444" s="71"/>
      <c r="P444" s="71"/>
      <c r="Q444" s="45"/>
      <c r="R444" s="45"/>
    </row>
    <row r="445" ht="22.5" customHeight="1">
      <c r="A445" s="32" t="s">
        <v>960</v>
      </c>
      <c r="B445" s="55"/>
      <c r="C445" s="56"/>
      <c r="D445" s="36"/>
      <c r="E445" s="37"/>
      <c r="F445" s="69"/>
      <c r="G445" s="39"/>
      <c r="H445" s="36"/>
      <c r="I445" s="36"/>
      <c r="J445" s="36"/>
      <c r="K445" s="36"/>
      <c r="L445" s="36"/>
      <c r="M445" s="57"/>
      <c r="N445" s="44"/>
      <c r="O445" s="71"/>
      <c r="P445" s="71"/>
      <c r="Q445" s="45"/>
      <c r="R445" s="45"/>
    </row>
    <row r="446" ht="22.5" customHeight="1">
      <c r="A446" s="32" t="s">
        <v>961</v>
      </c>
      <c r="B446" s="55"/>
      <c r="C446" s="56"/>
      <c r="D446" s="36"/>
      <c r="E446" s="37"/>
      <c r="F446" s="69"/>
      <c r="G446" s="39"/>
      <c r="H446" s="36"/>
      <c r="I446" s="36"/>
      <c r="J446" s="36"/>
      <c r="K446" s="36"/>
      <c r="L446" s="36"/>
      <c r="M446" s="57"/>
      <c r="N446" s="44"/>
      <c r="O446" s="71"/>
      <c r="P446" s="71"/>
      <c r="Q446" s="45"/>
      <c r="R446" s="45"/>
    </row>
    <row r="447" ht="22.5" customHeight="1">
      <c r="A447" s="32" t="s">
        <v>962</v>
      </c>
      <c r="B447" s="55"/>
      <c r="C447" s="56"/>
      <c r="D447" s="36"/>
      <c r="E447" s="37"/>
      <c r="F447" s="69"/>
      <c r="G447" s="39"/>
      <c r="H447" s="36"/>
      <c r="I447" s="36"/>
      <c r="J447" s="36"/>
      <c r="K447" s="36"/>
      <c r="L447" s="36"/>
      <c r="M447" s="57"/>
      <c r="N447" s="44"/>
      <c r="O447" s="71"/>
      <c r="P447" s="71"/>
      <c r="Q447" s="45"/>
      <c r="R447" s="45"/>
    </row>
    <row r="448" ht="22.5" customHeight="1">
      <c r="A448" s="32" t="s">
        <v>963</v>
      </c>
      <c r="B448" s="55"/>
      <c r="C448" s="56"/>
      <c r="D448" s="36"/>
      <c r="E448" s="37"/>
      <c r="F448" s="69"/>
      <c r="G448" s="39"/>
      <c r="H448" s="36"/>
      <c r="I448" s="36"/>
      <c r="J448" s="36"/>
      <c r="K448" s="36"/>
      <c r="L448" s="36"/>
      <c r="M448" s="57"/>
      <c r="N448" s="44"/>
      <c r="O448" s="71"/>
      <c r="P448" s="71"/>
      <c r="Q448" s="45"/>
      <c r="R448" s="45"/>
    </row>
    <row r="449" ht="22.5" customHeight="1">
      <c r="A449" s="32" t="s">
        <v>964</v>
      </c>
      <c r="B449" s="55"/>
      <c r="C449" s="56"/>
      <c r="D449" s="36"/>
      <c r="E449" s="37"/>
      <c r="F449" s="69"/>
      <c r="G449" s="39"/>
      <c r="H449" s="36"/>
      <c r="I449" s="36"/>
      <c r="J449" s="36"/>
      <c r="K449" s="36"/>
      <c r="L449" s="36"/>
      <c r="M449" s="57"/>
      <c r="N449" s="44"/>
      <c r="O449" s="71"/>
      <c r="P449" s="71"/>
      <c r="Q449" s="45"/>
      <c r="R449" s="45"/>
    </row>
    <row r="450" ht="22.5" customHeight="1">
      <c r="A450" s="32" t="s">
        <v>965</v>
      </c>
      <c r="B450" s="55"/>
      <c r="C450" s="56"/>
      <c r="D450" s="36"/>
      <c r="E450" s="37"/>
      <c r="F450" s="69"/>
      <c r="G450" s="39"/>
      <c r="H450" s="36"/>
      <c r="I450" s="36"/>
      <c r="J450" s="36"/>
      <c r="K450" s="36"/>
      <c r="L450" s="36"/>
      <c r="M450" s="57"/>
      <c r="N450" s="44"/>
      <c r="O450" s="71"/>
      <c r="P450" s="71"/>
      <c r="Q450" s="45"/>
      <c r="R450" s="45"/>
    </row>
    <row r="451" ht="22.5" customHeight="1">
      <c r="A451" s="32" t="s">
        <v>966</v>
      </c>
      <c r="B451" s="55"/>
      <c r="C451" s="56"/>
      <c r="D451" s="36"/>
      <c r="E451" s="37"/>
      <c r="F451" s="69"/>
      <c r="G451" s="39"/>
      <c r="H451" s="36"/>
      <c r="I451" s="36"/>
      <c r="J451" s="36"/>
      <c r="K451" s="36"/>
      <c r="L451" s="36"/>
      <c r="M451" s="57"/>
      <c r="N451" s="44"/>
      <c r="O451" s="71"/>
      <c r="P451" s="71"/>
      <c r="Q451" s="45"/>
      <c r="R451" s="45"/>
    </row>
    <row r="452" ht="22.5" customHeight="1">
      <c r="A452" s="32" t="s">
        <v>967</v>
      </c>
      <c r="B452" s="55"/>
      <c r="C452" s="56"/>
      <c r="D452" s="36"/>
      <c r="E452" s="37"/>
      <c r="F452" s="69"/>
      <c r="G452" s="39"/>
      <c r="H452" s="36"/>
      <c r="I452" s="36"/>
      <c r="J452" s="36"/>
      <c r="K452" s="36"/>
      <c r="L452" s="36"/>
      <c r="M452" s="57"/>
      <c r="N452" s="44"/>
      <c r="O452" s="71"/>
      <c r="P452" s="71"/>
      <c r="Q452" s="45"/>
      <c r="R452" s="45"/>
    </row>
    <row r="453" ht="22.5" customHeight="1">
      <c r="A453" s="32" t="s">
        <v>968</v>
      </c>
      <c r="B453" s="55"/>
      <c r="C453" s="56"/>
      <c r="D453" s="36"/>
      <c r="E453" s="37"/>
      <c r="F453" s="69"/>
      <c r="G453" s="39"/>
      <c r="H453" s="36"/>
      <c r="I453" s="36"/>
      <c r="J453" s="36"/>
      <c r="K453" s="36"/>
      <c r="L453" s="36"/>
      <c r="M453" s="57"/>
      <c r="N453" s="44"/>
      <c r="O453" s="71"/>
      <c r="P453" s="71"/>
      <c r="Q453" s="45"/>
      <c r="R453" s="45"/>
    </row>
    <row r="454">
      <c r="F454" s="49"/>
      <c r="R454" s="73"/>
    </row>
    <row r="455">
      <c r="F455" s="49"/>
      <c r="R455" s="73"/>
    </row>
    <row r="456">
      <c r="F456" s="49"/>
      <c r="R456" s="73"/>
    </row>
    <row r="457">
      <c r="F457" s="49"/>
      <c r="R457" s="73"/>
    </row>
    <row r="458">
      <c r="F458" s="49"/>
      <c r="R458" s="73"/>
    </row>
    <row r="459">
      <c r="F459" s="49"/>
      <c r="R459" s="73"/>
    </row>
    <row r="460">
      <c r="F460" s="49"/>
      <c r="R460" s="73"/>
    </row>
    <row r="461">
      <c r="F461" s="49"/>
      <c r="R461" s="73"/>
    </row>
    <row r="462">
      <c r="F462" s="49"/>
      <c r="R462" s="73"/>
    </row>
    <row r="463">
      <c r="F463" s="49"/>
      <c r="R463" s="73"/>
    </row>
    <row r="464">
      <c r="F464" s="49"/>
      <c r="R464" s="73"/>
    </row>
    <row r="465">
      <c r="F465" s="49"/>
      <c r="R465" s="73"/>
    </row>
    <row r="466">
      <c r="F466" s="49"/>
      <c r="R466" s="73"/>
    </row>
    <row r="467">
      <c r="F467" s="49"/>
      <c r="R467" s="73"/>
    </row>
    <row r="468">
      <c r="F468" s="49"/>
      <c r="R468" s="73"/>
    </row>
    <row r="469">
      <c r="F469" s="49"/>
      <c r="R469" s="73"/>
    </row>
    <row r="470">
      <c r="F470" s="49"/>
      <c r="R470" s="73"/>
    </row>
    <row r="471">
      <c r="F471" s="49"/>
      <c r="R471" s="73"/>
    </row>
    <row r="472">
      <c r="F472" s="49"/>
      <c r="R472" s="73"/>
    </row>
    <row r="473">
      <c r="F473" s="49"/>
      <c r="R473" s="73"/>
    </row>
    <row r="474">
      <c r="F474" s="49"/>
      <c r="R474" s="73"/>
    </row>
    <row r="475">
      <c r="F475" s="49"/>
      <c r="R475" s="73"/>
    </row>
    <row r="476">
      <c r="F476" s="49"/>
      <c r="R476" s="73"/>
    </row>
    <row r="477">
      <c r="F477" s="49"/>
      <c r="R477" s="73"/>
    </row>
    <row r="478">
      <c r="F478" s="49"/>
      <c r="R478" s="73"/>
    </row>
    <row r="479">
      <c r="F479" s="49"/>
      <c r="R479" s="73"/>
    </row>
    <row r="480">
      <c r="F480" s="49"/>
      <c r="R480" s="73"/>
    </row>
    <row r="481">
      <c r="F481" s="49"/>
      <c r="R481" s="73"/>
    </row>
    <row r="482">
      <c r="F482" s="49"/>
      <c r="R482" s="73"/>
    </row>
    <row r="483">
      <c r="F483" s="49"/>
      <c r="R483" s="73"/>
    </row>
    <row r="484">
      <c r="F484" s="49"/>
      <c r="R484" s="73"/>
    </row>
    <row r="485">
      <c r="F485" s="49"/>
      <c r="R485" s="73"/>
    </row>
    <row r="486">
      <c r="F486" s="49"/>
      <c r="R486" s="73"/>
    </row>
    <row r="487">
      <c r="F487" s="49"/>
      <c r="R487" s="73"/>
    </row>
    <row r="488">
      <c r="F488" s="49"/>
      <c r="R488" s="73"/>
    </row>
    <row r="489">
      <c r="F489" s="49"/>
      <c r="R489" s="73"/>
    </row>
    <row r="490">
      <c r="F490" s="49"/>
      <c r="R490" s="73"/>
    </row>
    <row r="491">
      <c r="F491" s="49"/>
      <c r="R491" s="73"/>
    </row>
    <row r="492">
      <c r="F492" s="49"/>
      <c r="R492" s="73"/>
    </row>
    <row r="493">
      <c r="F493" s="49"/>
      <c r="R493" s="73"/>
    </row>
    <row r="494">
      <c r="F494" s="49"/>
      <c r="R494" s="73"/>
    </row>
    <row r="495">
      <c r="F495" s="49"/>
      <c r="R495" s="73"/>
    </row>
    <row r="496">
      <c r="F496" s="49"/>
      <c r="R496" s="73"/>
    </row>
    <row r="497">
      <c r="F497" s="49"/>
      <c r="R497" s="73"/>
    </row>
    <row r="498">
      <c r="F498" s="49"/>
      <c r="R498" s="73"/>
    </row>
    <row r="499">
      <c r="F499" s="49"/>
      <c r="R499" s="73"/>
    </row>
    <row r="500">
      <c r="F500" s="49"/>
      <c r="R500" s="73"/>
    </row>
    <row r="501">
      <c r="F501" s="49"/>
      <c r="R501" s="73"/>
    </row>
    <row r="502">
      <c r="F502" s="49"/>
      <c r="R502" s="73"/>
    </row>
    <row r="503">
      <c r="F503" s="49"/>
      <c r="R503" s="73"/>
    </row>
    <row r="504">
      <c r="F504" s="49"/>
      <c r="R504" s="73"/>
    </row>
    <row r="505">
      <c r="F505" s="49"/>
      <c r="R505" s="73"/>
    </row>
    <row r="506">
      <c r="F506" s="49"/>
      <c r="R506" s="73"/>
    </row>
    <row r="507">
      <c r="F507" s="49"/>
      <c r="R507" s="73"/>
    </row>
    <row r="508">
      <c r="F508" s="49"/>
      <c r="R508" s="73"/>
    </row>
    <row r="509">
      <c r="F509" s="49"/>
      <c r="R509" s="73"/>
    </row>
    <row r="510">
      <c r="F510" s="49"/>
      <c r="R510" s="73"/>
    </row>
    <row r="511">
      <c r="F511" s="49"/>
      <c r="R511" s="73"/>
    </row>
    <row r="512">
      <c r="F512" s="49"/>
      <c r="R512" s="73"/>
    </row>
    <row r="513">
      <c r="F513" s="49"/>
      <c r="R513" s="73"/>
    </row>
    <row r="514">
      <c r="F514" s="49"/>
      <c r="R514" s="73"/>
    </row>
    <row r="515">
      <c r="F515" s="49"/>
      <c r="R515" s="73"/>
    </row>
    <row r="516">
      <c r="F516" s="49"/>
      <c r="R516" s="73"/>
    </row>
    <row r="517">
      <c r="F517" s="49"/>
      <c r="R517" s="73"/>
    </row>
    <row r="518">
      <c r="F518" s="49"/>
      <c r="R518" s="73"/>
    </row>
    <row r="519">
      <c r="F519" s="49"/>
      <c r="R519" s="73"/>
    </row>
    <row r="520">
      <c r="F520" s="49"/>
      <c r="R520" s="73"/>
    </row>
    <row r="521">
      <c r="F521" s="49"/>
      <c r="R521" s="73"/>
    </row>
    <row r="522">
      <c r="F522" s="49"/>
      <c r="R522" s="73"/>
    </row>
    <row r="523">
      <c r="F523" s="49"/>
      <c r="R523" s="73"/>
    </row>
    <row r="524">
      <c r="F524" s="49"/>
      <c r="R524" s="73"/>
    </row>
    <row r="525">
      <c r="F525" s="49"/>
      <c r="R525" s="73"/>
    </row>
    <row r="526">
      <c r="F526" s="49"/>
      <c r="R526" s="73"/>
    </row>
    <row r="527">
      <c r="F527" s="49"/>
      <c r="R527" s="73"/>
    </row>
    <row r="528">
      <c r="F528" s="49"/>
      <c r="R528" s="73"/>
    </row>
    <row r="529">
      <c r="F529" s="49"/>
      <c r="R529" s="73"/>
    </row>
    <row r="530">
      <c r="F530" s="49"/>
      <c r="R530" s="73"/>
    </row>
    <row r="531">
      <c r="F531" s="49"/>
      <c r="R531" s="73"/>
    </row>
    <row r="532">
      <c r="F532" s="49"/>
      <c r="R532" s="73"/>
    </row>
    <row r="533">
      <c r="F533" s="49"/>
      <c r="R533" s="73"/>
    </row>
    <row r="534">
      <c r="F534" s="49"/>
      <c r="R534" s="73"/>
    </row>
    <row r="535">
      <c r="F535" s="49"/>
      <c r="R535" s="73"/>
    </row>
    <row r="536">
      <c r="F536" s="49"/>
      <c r="R536" s="73"/>
    </row>
    <row r="537">
      <c r="F537" s="49"/>
      <c r="R537" s="73"/>
    </row>
    <row r="538">
      <c r="F538" s="49"/>
      <c r="R538" s="73"/>
    </row>
    <row r="539">
      <c r="F539" s="49"/>
      <c r="R539" s="73"/>
    </row>
    <row r="540">
      <c r="F540" s="49"/>
      <c r="R540" s="73"/>
    </row>
    <row r="541">
      <c r="F541" s="49"/>
      <c r="R541" s="73"/>
    </row>
    <row r="542">
      <c r="F542" s="49"/>
      <c r="R542" s="73"/>
    </row>
    <row r="543">
      <c r="F543" s="49"/>
      <c r="R543" s="73"/>
    </row>
    <row r="544">
      <c r="F544" s="49"/>
      <c r="R544" s="73"/>
    </row>
    <row r="545">
      <c r="F545" s="49"/>
      <c r="R545" s="73"/>
    </row>
    <row r="546">
      <c r="F546" s="49"/>
      <c r="R546" s="73"/>
    </row>
    <row r="547">
      <c r="F547" s="49"/>
      <c r="R547" s="73"/>
    </row>
    <row r="548">
      <c r="F548" s="49"/>
      <c r="R548" s="73"/>
    </row>
    <row r="549">
      <c r="F549" s="49"/>
      <c r="R549" s="73"/>
    </row>
    <row r="550">
      <c r="F550" s="49"/>
      <c r="R550" s="73"/>
    </row>
    <row r="551">
      <c r="F551" s="49"/>
      <c r="R551" s="73"/>
    </row>
    <row r="552">
      <c r="F552" s="49"/>
      <c r="R552" s="73"/>
    </row>
    <row r="553">
      <c r="F553" s="49"/>
      <c r="R553" s="73"/>
    </row>
    <row r="554">
      <c r="F554" s="49"/>
      <c r="R554" s="73"/>
    </row>
    <row r="555">
      <c r="F555" s="49"/>
      <c r="R555" s="73"/>
    </row>
    <row r="556">
      <c r="F556" s="49"/>
      <c r="R556" s="73"/>
    </row>
    <row r="557">
      <c r="F557" s="49"/>
      <c r="R557" s="73"/>
    </row>
    <row r="558">
      <c r="F558" s="49"/>
      <c r="R558" s="73"/>
    </row>
    <row r="559">
      <c r="F559" s="49"/>
      <c r="R559" s="73"/>
    </row>
    <row r="560">
      <c r="F560" s="49"/>
      <c r="R560" s="73"/>
    </row>
    <row r="561">
      <c r="F561" s="49"/>
      <c r="R561" s="73"/>
    </row>
    <row r="562">
      <c r="F562" s="49"/>
      <c r="R562" s="73"/>
    </row>
    <row r="563">
      <c r="F563" s="49"/>
      <c r="R563" s="73"/>
    </row>
    <row r="564">
      <c r="F564" s="49"/>
      <c r="R564" s="73"/>
    </row>
    <row r="565">
      <c r="F565" s="49"/>
      <c r="R565" s="73"/>
    </row>
    <row r="566">
      <c r="F566" s="49"/>
      <c r="R566" s="73"/>
    </row>
    <row r="567">
      <c r="F567" s="49"/>
      <c r="R567" s="73"/>
    </row>
    <row r="568">
      <c r="F568" s="49"/>
      <c r="R568" s="73"/>
    </row>
    <row r="569">
      <c r="F569" s="49"/>
      <c r="R569" s="73"/>
    </row>
    <row r="570">
      <c r="F570" s="49"/>
      <c r="R570" s="73"/>
    </row>
    <row r="571">
      <c r="F571" s="49"/>
      <c r="R571" s="73"/>
    </row>
    <row r="572">
      <c r="F572" s="49"/>
      <c r="R572" s="73"/>
    </row>
    <row r="573">
      <c r="F573" s="49"/>
      <c r="R573" s="73"/>
    </row>
    <row r="574">
      <c r="F574" s="49"/>
      <c r="R574" s="73"/>
    </row>
    <row r="575">
      <c r="F575" s="49"/>
      <c r="R575" s="73"/>
    </row>
    <row r="576">
      <c r="F576" s="49"/>
      <c r="R576" s="73"/>
    </row>
    <row r="577">
      <c r="F577" s="49"/>
      <c r="R577" s="73"/>
    </row>
    <row r="578">
      <c r="F578" s="49"/>
      <c r="R578" s="73"/>
    </row>
    <row r="579">
      <c r="F579" s="49"/>
      <c r="R579" s="73"/>
    </row>
    <row r="580">
      <c r="F580" s="49"/>
      <c r="R580" s="73"/>
    </row>
    <row r="581">
      <c r="F581" s="49"/>
      <c r="R581" s="73"/>
    </row>
    <row r="582">
      <c r="F582" s="49"/>
      <c r="R582" s="73"/>
    </row>
    <row r="583">
      <c r="F583" s="49"/>
      <c r="R583" s="73"/>
    </row>
    <row r="584">
      <c r="F584" s="49"/>
      <c r="R584" s="73"/>
    </row>
    <row r="585">
      <c r="F585" s="49"/>
      <c r="R585" s="73"/>
    </row>
    <row r="586">
      <c r="F586" s="49"/>
      <c r="R586" s="73"/>
    </row>
    <row r="587">
      <c r="F587" s="49"/>
      <c r="R587" s="73"/>
    </row>
    <row r="588">
      <c r="F588" s="49"/>
      <c r="R588" s="73"/>
    </row>
    <row r="589">
      <c r="F589" s="49"/>
      <c r="R589" s="73"/>
    </row>
    <row r="590">
      <c r="F590" s="49"/>
      <c r="R590" s="73"/>
    </row>
    <row r="591">
      <c r="F591" s="49"/>
      <c r="R591" s="73"/>
    </row>
    <row r="592">
      <c r="F592" s="49"/>
      <c r="R592" s="73"/>
    </row>
    <row r="593">
      <c r="F593" s="49"/>
      <c r="R593" s="73"/>
    </row>
    <row r="594">
      <c r="F594" s="49"/>
      <c r="R594" s="73"/>
    </row>
    <row r="595">
      <c r="F595" s="49"/>
      <c r="R595" s="73"/>
    </row>
    <row r="596">
      <c r="F596" s="49"/>
      <c r="R596" s="73"/>
    </row>
    <row r="597">
      <c r="F597" s="49"/>
      <c r="R597" s="73"/>
    </row>
    <row r="598">
      <c r="F598" s="49"/>
      <c r="R598" s="73"/>
    </row>
    <row r="599">
      <c r="F599" s="49"/>
      <c r="R599" s="73"/>
    </row>
    <row r="600">
      <c r="F600" s="49"/>
      <c r="R600" s="73"/>
    </row>
    <row r="601">
      <c r="F601" s="49"/>
      <c r="R601" s="73"/>
    </row>
    <row r="602">
      <c r="F602" s="49"/>
      <c r="R602" s="73"/>
    </row>
    <row r="603">
      <c r="F603" s="49"/>
      <c r="R603" s="73"/>
    </row>
    <row r="604">
      <c r="F604" s="49"/>
      <c r="R604" s="73"/>
    </row>
    <row r="605">
      <c r="F605" s="49"/>
      <c r="R605" s="73"/>
    </row>
    <row r="606">
      <c r="F606" s="49"/>
      <c r="R606" s="73"/>
    </row>
    <row r="607">
      <c r="F607" s="49"/>
      <c r="R607" s="73"/>
    </row>
    <row r="608">
      <c r="F608" s="49"/>
      <c r="R608" s="73"/>
    </row>
    <row r="609">
      <c r="F609" s="49"/>
      <c r="R609" s="73"/>
    </row>
    <row r="610">
      <c r="F610" s="49"/>
      <c r="R610" s="73"/>
    </row>
    <row r="611">
      <c r="F611" s="49"/>
      <c r="R611" s="73"/>
    </row>
    <row r="612">
      <c r="F612" s="49"/>
      <c r="R612" s="73"/>
    </row>
    <row r="613">
      <c r="F613" s="49"/>
      <c r="R613" s="73"/>
    </row>
    <row r="614">
      <c r="F614" s="49"/>
      <c r="R614" s="73"/>
    </row>
    <row r="615">
      <c r="F615" s="49"/>
      <c r="R615" s="73"/>
    </row>
    <row r="616">
      <c r="F616" s="49"/>
      <c r="R616" s="73"/>
    </row>
    <row r="617">
      <c r="F617" s="49"/>
      <c r="R617" s="73"/>
    </row>
    <row r="618">
      <c r="F618" s="49"/>
      <c r="R618" s="73"/>
    </row>
    <row r="619">
      <c r="F619" s="49"/>
      <c r="R619" s="73"/>
    </row>
    <row r="620">
      <c r="F620" s="49"/>
      <c r="R620" s="73"/>
    </row>
    <row r="621">
      <c r="F621" s="49"/>
      <c r="R621" s="73"/>
    </row>
    <row r="622">
      <c r="F622" s="49"/>
      <c r="R622" s="73"/>
    </row>
    <row r="623">
      <c r="F623" s="49"/>
      <c r="R623" s="73"/>
    </row>
    <row r="624">
      <c r="F624" s="49"/>
      <c r="R624" s="73"/>
    </row>
    <row r="625">
      <c r="F625" s="49"/>
      <c r="R625" s="73"/>
    </row>
    <row r="626">
      <c r="F626" s="49"/>
      <c r="R626" s="73"/>
    </row>
    <row r="627">
      <c r="F627" s="49"/>
      <c r="R627" s="73"/>
    </row>
    <row r="628">
      <c r="F628" s="49"/>
      <c r="R628" s="73"/>
    </row>
    <row r="629">
      <c r="F629" s="49"/>
      <c r="R629" s="73"/>
    </row>
    <row r="630">
      <c r="F630" s="49"/>
      <c r="R630" s="73"/>
    </row>
    <row r="631">
      <c r="F631" s="49"/>
      <c r="R631" s="73"/>
    </row>
    <row r="632">
      <c r="F632" s="49"/>
      <c r="R632" s="73"/>
    </row>
    <row r="633">
      <c r="F633" s="49"/>
      <c r="R633" s="73"/>
    </row>
    <row r="634">
      <c r="F634" s="49"/>
      <c r="R634" s="73"/>
    </row>
    <row r="635">
      <c r="F635" s="49"/>
      <c r="R635" s="73"/>
    </row>
    <row r="636">
      <c r="F636" s="49"/>
      <c r="R636" s="73"/>
    </row>
    <row r="637">
      <c r="F637" s="49"/>
      <c r="R637" s="73"/>
    </row>
    <row r="638">
      <c r="F638" s="49"/>
      <c r="R638" s="73"/>
    </row>
    <row r="639">
      <c r="F639" s="49"/>
      <c r="R639" s="73"/>
    </row>
    <row r="640">
      <c r="F640" s="49"/>
      <c r="R640" s="73"/>
    </row>
    <row r="641">
      <c r="F641" s="49"/>
      <c r="R641" s="73"/>
    </row>
    <row r="642">
      <c r="F642" s="49"/>
      <c r="R642" s="73"/>
    </row>
    <row r="643">
      <c r="F643" s="49"/>
      <c r="R643" s="73"/>
    </row>
    <row r="644">
      <c r="F644" s="49"/>
      <c r="R644" s="73"/>
    </row>
    <row r="645">
      <c r="F645" s="49"/>
      <c r="R645" s="73"/>
    </row>
    <row r="646">
      <c r="F646" s="49"/>
      <c r="R646" s="73"/>
    </row>
    <row r="647">
      <c r="F647" s="49"/>
      <c r="R647" s="73"/>
    </row>
    <row r="648">
      <c r="F648" s="49"/>
      <c r="R648" s="73"/>
    </row>
    <row r="649">
      <c r="F649" s="49"/>
      <c r="R649" s="73"/>
    </row>
    <row r="650">
      <c r="F650" s="49"/>
      <c r="R650" s="73"/>
    </row>
    <row r="651">
      <c r="F651" s="49"/>
      <c r="R651" s="73"/>
    </row>
    <row r="652">
      <c r="F652" s="49"/>
      <c r="R652" s="73"/>
    </row>
    <row r="653">
      <c r="F653" s="49"/>
      <c r="R653" s="73"/>
    </row>
    <row r="654">
      <c r="F654" s="49"/>
      <c r="R654" s="73"/>
    </row>
    <row r="655">
      <c r="F655" s="49"/>
      <c r="R655" s="73"/>
    </row>
    <row r="656">
      <c r="F656" s="49"/>
      <c r="R656" s="73"/>
    </row>
    <row r="657">
      <c r="F657" s="49"/>
      <c r="R657" s="73"/>
    </row>
    <row r="658">
      <c r="F658" s="49"/>
      <c r="R658" s="73"/>
    </row>
    <row r="659">
      <c r="F659" s="49"/>
      <c r="R659" s="73"/>
    </row>
    <row r="660">
      <c r="F660" s="49"/>
      <c r="R660" s="73"/>
    </row>
    <row r="661">
      <c r="F661" s="49"/>
      <c r="R661" s="73"/>
    </row>
    <row r="662">
      <c r="F662" s="49"/>
      <c r="R662" s="73"/>
    </row>
    <row r="663">
      <c r="F663" s="49"/>
      <c r="R663" s="73"/>
    </row>
    <row r="664">
      <c r="F664" s="49"/>
      <c r="R664" s="73"/>
    </row>
    <row r="665">
      <c r="F665" s="49"/>
      <c r="R665" s="73"/>
    </row>
    <row r="666">
      <c r="F666" s="49"/>
      <c r="R666" s="73"/>
    </row>
    <row r="667">
      <c r="F667" s="49"/>
      <c r="R667" s="73"/>
    </row>
    <row r="668">
      <c r="F668" s="49"/>
      <c r="R668" s="73"/>
    </row>
    <row r="669">
      <c r="F669" s="49"/>
      <c r="R669" s="73"/>
    </row>
    <row r="670">
      <c r="F670" s="49"/>
      <c r="R670" s="73"/>
    </row>
    <row r="671">
      <c r="F671" s="49"/>
      <c r="R671" s="73"/>
    </row>
    <row r="672">
      <c r="F672" s="49"/>
      <c r="R672" s="73"/>
    </row>
    <row r="673">
      <c r="F673" s="49"/>
      <c r="R673" s="73"/>
    </row>
    <row r="674">
      <c r="F674" s="49"/>
      <c r="R674" s="73"/>
    </row>
    <row r="675">
      <c r="F675" s="49"/>
      <c r="R675" s="73"/>
    </row>
    <row r="676">
      <c r="F676" s="49"/>
      <c r="R676" s="73"/>
    </row>
    <row r="677">
      <c r="F677" s="49"/>
      <c r="R677" s="73"/>
    </row>
    <row r="678">
      <c r="F678" s="49"/>
      <c r="R678" s="73"/>
    </row>
    <row r="679">
      <c r="F679" s="49"/>
      <c r="R679" s="73"/>
    </row>
    <row r="680">
      <c r="F680" s="49"/>
      <c r="R680" s="73"/>
    </row>
    <row r="681">
      <c r="F681" s="49"/>
      <c r="R681" s="73"/>
    </row>
    <row r="682">
      <c r="F682" s="49"/>
      <c r="R682" s="73"/>
    </row>
    <row r="683">
      <c r="F683" s="49"/>
      <c r="R683" s="73"/>
    </row>
    <row r="684">
      <c r="F684" s="49"/>
      <c r="R684" s="73"/>
    </row>
    <row r="685">
      <c r="F685" s="49"/>
      <c r="R685" s="73"/>
    </row>
    <row r="686">
      <c r="F686" s="49"/>
      <c r="R686" s="73"/>
    </row>
    <row r="687">
      <c r="F687" s="49"/>
      <c r="R687" s="73"/>
    </row>
    <row r="688">
      <c r="F688" s="49"/>
      <c r="R688" s="73"/>
    </row>
    <row r="689">
      <c r="F689" s="49"/>
      <c r="R689" s="73"/>
    </row>
    <row r="690">
      <c r="F690" s="49"/>
      <c r="R690" s="73"/>
    </row>
    <row r="691">
      <c r="F691" s="49"/>
      <c r="R691" s="73"/>
    </row>
    <row r="692">
      <c r="F692" s="49"/>
      <c r="R692" s="73"/>
    </row>
    <row r="693">
      <c r="F693" s="49"/>
      <c r="R693" s="73"/>
    </row>
    <row r="694">
      <c r="F694" s="49"/>
      <c r="R694" s="73"/>
    </row>
    <row r="695">
      <c r="F695" s="49"/>
      <c r="R695" s="73"/>
    </row>
    <row r="696">
      <c r="F696" s="49"/>
      <c r="R696" s="73"/>
    </row>
    <row r="697">
      <c r="F697" s="49"/>
      <c r="R697" s="73"/>
    </row>
    <row r="698">
      <c r="F698" s="49"/>
      <c r="R698" s="73"/>
    </row>
    <row r="699">
      <c r="F699" s="49"/>
      <c r="R699" s="73"/>
    </row>
    <row r="700">
      <c r="F700" s="49"/>
      <c r="R700" s="73"/>
    </row>
    <row r="701">
      <c r="F701" s="49"/>
      <c r="R701" s="73"/>
    </row>
    <row r="702">
      <c r="F702" s="49"/>
      <c r="R702" s="73"/>
    </row>
    <row r="703">
      <c r="F703" s="49"/>
      <c r="R703" s="73"/>
    </row>
    <row r="704">
      <c r="F704" s="49"/>
      <c r="R704" s="73"/>
    </row>
    <row r="705">
      <c r="F705" s="49"/>
      <c r="R705" s="73"/>
    </row>
    <row r="706">
      <c r="F706" s="49"/>
      <c r="R706" s="73"/>
    </row>
    <row r="707">
      <c r="F707" s="49"/>
      <c r="R707" s="73"/>
    </row>
    <row r="708">
      <c r="F708" s="49"/>
      <c r="R708" s="73"/>
    </row>
    <row r="709">
      <c r="F709" s="49"/>
      <c r="R709" s="73"/>
    </row>
    <row r="710">
      <c r="F710" s="49"/>
      <c r="R710" s="73"/>
    </row>
    <row r="711">
      <c r="F711" s="49"/>
      <c r="R711" s="73"/>
    </row>
    <row r="712">
      <c r="F712" s="49"/>
      <c r="R712" s="73"/>
    </row>
    <row r="713">
      <c r="F713" s="49"/>
      <c r="R713" s="73"/>
    </row>
    <row r="714">
      <c r="F714" s="49"/>
      <c r="R714" s="73"/>
    </row>
    <row r="715">
      <c r="F715" s="49"/>
      <c r="R715" s="73"/>
    </row>
    <row r="716">
      <c r="F716" s="49"/>
      <c r="R716" s="73"/>
    </row>
    <row r="717">
      <c r="F717" s="49"/>
      <c r="R717" s="73"/>
    </row>
    <row r="718">
      <c r="F718" s="49"/>
      <c r="R718" s="73"/>
    </row>
    <row r="719">
      <c r="F719" s="49"/>
      <c r="R719" s="73"/>
    </row>
    <row r="720">
      <c r="F720" s="49"/>
      <c r="R720" s="73"/>
    </row>
    <row r="721">
      <c r="F721" s="49"/>
      <c r="R721" s="73"/>
    </row>
    <row r="722">
      <c r="F722" s="49"/>
      <c r="R722" s="73"/>
    </row>
    <row r="723">
      <c r="F723" s="49"/>
      <c r="R723" s="73"/>
    </row>
    <row r="724">
      <c r="F724" s="49"/>
      <c r="R724" s="73"/>
    </row>
    <row r="725">
      <c r="F725" s="49"/>
      <c r="R725" s="73"/>
    </row>
    <row r="726">
      <c r="F726" s="49"/>
      <c r="R726" s="73"/>
    </row>
    <row r="727">
      <c r="F727" s="49"/>
      <c r="R727" s="73"/>
    </row>
    <row r="728">
      <c r="F728" s="49"/>
      <c r="R728" s="73"/>
    </row>
    <row r="729">
      <c r="F729" s="49"/>
      <c r="R729" s="73"/>
    </row>
    <row r="730">
      <c r="F730" s="49"/>
      <c r="R730" s="73"/>
    </row>
    <row r="731">
      <c r="F731" s="49"/>
      <c r="R731" s="73"/>
    </row>
    <row r="732">
      <c r="F732" s="49"/>
      <c r="R732" s="73"/>
    </row>
    <row r="733">
      <c r="F733" s="49"/>
      <c r="R733" s="73"/>
    </row>
    <row r="734">
      <c r="F734" s="49"/>
      <c r="R734" s="73"/>
    </row>
    <row r="735">
      <c r="F735" s="49"/>
      <c r="R735" s="73"/>
    </row>
    <row r="736">
      <c r="F736" s="49"/>
      <c r="R736" s="73"/>
    </row>
    <row r="737">
      <c r="F737" s="49"/>
      <c r="R737" s="73"/>
    </row>
    <row r="738">
      <c r="F738" s="49"/>
      <c r="R738" s="73"/>
    </row>
    <row r="739">
      <c r="F739" s="49"/>
      <c r="R739" s="73"/>
    </row>
    <row r="740">
      <c r="F740" s="49"/>
      <c r="R740" s="73"/>
    </row>
    <row r="741">
      <c r="F741" s="49"/>
      <c r="R741" s="73"/>
    </row>
    <row r="742">
      <c r="F742" s="49"/>
      <c r="R742" s="73"/>
    </row>
    <row r="743">
      <c r="F743" s="49"/>
      <c r="R743" s="73"/>
    </row>
    <row r="744">
      <c r="F744" s="49"/>
      <c r="R744" s="73"/>
    </row>
    <row r="745">
      <c r="F745" s="49"/>
      <c r="R745" s="73"/>
    </row>
    <row r="746">
      <c r="F746" s="49"/>
      <c r="R746" s="73"/>
    </row>
    <row r="747">
      <c r="F747" s="49"/>
      <c r="R747" s="73"/>
    </row>
    <row r="748">
      <c r="F748" s="49"/>
      <c r="R748" s="73"/>
    </row>
    <row r="749">
      <c r="F749" s="49"/>
      <c r="R749" s="73"/>
    </row>
    <row r="750">
      <c r="F750" s="49"/>
      <c r="R750" s="73"/>
    </row>
    <row r="751">
      <c r="F751" s="49"/>
      <c r="R751" s="73"/>
    </row>
    <row r="752">
      <c r="F752" s="49"/>
      <c r="R752" s="73"/>
    </row>
    <row r="753">
      <c r="F753" s="49"/>
      <c r="R753" s="73"/>
    </row>
    <row r="754">
      <c r="F754" s="49"/>
      <c r="R754" s="73"/>
    </row>
    <row r="755">
      <c r="F755" s="49"/>
      <c r="R755" s="73"/>
    </row>
    <row r="756">
      <c r="F756" s="49"/>
      <c r="R756" s="73"/>
    </row>
    <row r="757">
      <c r="F757" s="49"/>
      <c r="R757" s="73"/>
    </row>
    <row r="758">
      <c r="F758" s="49"/>
      <c r="R758" s="73"/>
    </row>
    <row r="759">
      <c r="F759" s="49"/>
      <c r="R759" s="73"/>
    </row>
    <row r="760">
      <c r="F760" s="49"/>
      <c r="R760" s="73"/>
    </row>
    <row r="761">
      <c r="F761" s="49"/>
      <c r="R761" s="73"/>
    </row>
    <row r="762">
      <c r="F762" s="49"/>
      <c r="R762" s="73"/>
    </row>
    <row r="763">
      <c r="F763" s="49"/>
      <c r="R763" s="73"/>
    </row>
    <row r="764">
      <c r="F764" s="49"/>
      <c r="R764" s="73"/>
    </row>
    <row r="765">
      <c r="F765" s="49"/>
      <c r="R765" s="73"/>
    </row>
    <row r="766">
      <c r="F766" s="49"/>
      <c r="R766" s="73"/>
    </row>
    <row r="767">
      <c r="F767" s="49"/>
      <c r="R767" s="73"/>
    </row>
    <row r="768">
      <c r="F768" s="49"/>
      <c r="R768" s="73"/>
    </row>
    <row r="769">
      <c r="F769" s="49"/>
      <c r="R769" s="73"/>
    </row>
    <row r="770">
      <c r="F770" s="49"/>
      <c r="R770" s="73"/>
    </row>
    <row r="771">
      <c r="F771" s="49"/>
      <c r="R771" s="73"/>
    </row>
    <row r="772">
      <c r="F772" s="49"/>
      <c r="R772" s="73"/>
    </row>
    <row r="773">
      <c r="F773" s="49"/>
      <c r="R773" s="73"/>
    </row>
    <row r="774">
      <c r="F774" s="49"/>
      <c r="R774" s="73"/>
    </row>
    <row r="775">
      <c r="F775" s="49"/>
      <c r="R775" s="73"/>
    </row>
    <row r="776">
      <c r="F776" s="49"/>
      <c r="R776" s="73"/>
    </row>
    <row r="777">
      <c r="F777" s="49"/>
      <c r="R777" s="73"/>
    </row>
    <row r="778">
      <c r="F778" s="49"/>
      <c r="R778" s="73"/>
    </row>
    <row r="779">
      <c r="F779" s="49"/>
      <c r="R779" s="73"/>
    </row>
    <row r="780">
      <c r="F780" s="49"/>
      <c r="R780" s="73"/>
    </row>
    <row r="781">
      <c r="F781" s="49"/>
      <c r="R781" s="73"/>
    </row>
    <row r="782">
      <c r="F782" s="49"/>
      <c r="R782" s="73"/>
    </row>
    <row r="783">
      <c r="F783" s="49"/>
      <c r="R783" s="73"/>
    </row>
    <row r="784">
      <c r="F784" s="49"/>
      <c r="R784" s="73"/>
    </row>
    <row r="785">
      <c r="F785" s="49"/>
      <c r="R785" s="73"/>
    </row>
    <row r="786">
      <c r="F786" s="49"/>
      <c r="R786" s="73"/>
    </row>
    <row r="787">
      <c r="F787" s="49"/>
      <c r="R787" s="73"/>
    </row>
    <row r="788">
      <c r="F788" s="49"/>
      <c r="R788" s="73"/>
    </row>
    <row r="789">
      <c r="F789" s="49"/>
      <c r="R789" s="73"/>
    </row>
    <row r="790">
      <c r="F790" s="49"/>
      <c r="R790" s="73"/>
    </row>
    <row r="791">
      <c r="F791" s="49"/>
      <c r="R791" s="73"/>
    </row>
    <row r="792">
      <c r="F792" s="49"/>
      <c r="R792" s="73"/>
    </row>
    <row r="793">
      <c r="F793" s="49"/>
      <c r="R793" s="73"/>
    </row>
    <row r="794">
      <c r="F794" s="49"/>
      <c r="R794" s="73"/>
    </row>
    <row r="795">
      <c r="F795" s="49"/>
      <c r="R795" s="73"/>
    </row>
    <row r="796">
      <c r="F796" s="49"/>
      <c r="R796" s="73"/>
    </row>
    <row r="797">
      <c r="F797" s="49"/>
      <c r="R797" s="73"/>
    </row>
    <row r="798">
      <c r="F798" s="49"/>
      <c r="R798" s="73"/>
    </row>
    <row r="799">
      <c r="F799" s="49"/>
      <c r="R799" s="73"/>
    </row>
    <row r="800">
      <c r="F800" s="49"/>
      <c r="R800" s="73"/>
    </row>
    <row r="801">
      <c r="F801" s="49"/>
      <c r="R801" s="73"/>
    </row>
    <row r="802">
      <c r="F802" s="49"/>
      <c r="R802" s="73"/>
    </row>
    <row r="803">
      <c r="F803" s="49"/>
      <c r="R803" s="73"/>
    </row>
    <row r="804">
      <c r="F804" s="49"/>
      <c r="R804" s="73"/>
    </row>
    <row r="805">
      <c r="F805" s="49"/>
      <c r="R805" s="73"/>
    </row>
    <row r="806">
      <c r="F806" s="49"/>
      <c r="R806" s="73"/>
    </row>
    <row r="807">
      <c r="F807" s="49"/>
      <c r="R807" s="73"/>
    </row>
    <row r="808">
      <c r="F808" s="49"/>
      <c r="R808" s="73"/>
    </row>
    <row r="809">
      <c r="F809" s="49"/>
      <c r="R809" s="73"/>
    </row>
    <row r="810">
      <c r="F810" s="49"/>
      <c r="R810" s="73"/>
    </row>
    <row r="811">
      <c r="F811" s="49"/>
      <c r="R811" s="73"/>
    </row>
    <row r="812">
      <c r="F812" s="49"/>
      <c r="R812" s="73"/>
    </row>
    <row r="813">
      <c r="F813" s="49"/>
      <c r="R813" s="73"/>
    </row>
    <row r="814">
      <c r="F814" s="49"/>
      <c r="R814" s="73"/>
    </row>
    <row r="815">
      <c r="F815" s="49"/>
      <c r="R815" s="73"/>
    </row>
    <row r="816">
      <c r="F816" s="49"/>
      <c r="R816" s="73"/>
    </row>
    <row r="817">
      <c r="F817" s="49"/>
      <c r="R817" s="73"/>
    </row>
    <row r="818">
      <c r="F818" s="49"/>
      <c r="R818" s="73"/>
    </row>
    <row r="819">
      <c r="F819" s="49"/>
      <c r="R819" s="73"/>
    </row>
    <row r="820">
      <c r="F820" s="49"/>
      <c r="R820" s="73"/>
    </row>
    <row r="821">
      <c r="F821" s="49"/>
      <c r="R821" s="73"/>
    </row>
    <row r="822">
      <c r="F822" s="49"/>
      <c r="R822" s="73"/>
    </row>
    <row r="823">
      <c r="F823" s="49"/>
      <c r="R823" s="73"/>
    </row>
    <row r="824">
      <c r="F824" s="49"/>
      <c r="R824" s="73"/>
    </row>
    <row r="825">
      <c r="F825" s="49"/>
      <c r="R825" s="73"/>
    </row>
    <row r="826">
      <c r="F826" s="49"/>
      <c r="R826" s="73"/>
    </row>
    <row r="827">
      <c r="F827" s="49"/>
      <c r="R827" s="73"/>
    </row>
    <row r="828">
      <c r="F828" s="49"/>
      <c r="R828" s="73"/>
    </row>
    <row r="829">
      <c r="F829" s="49"/>
      <c r="R829" s="73"/>
    </row>
    <row r="830">
      <c r="F830" s="49"/>
      <c r="R830" s="73"/>
    </row>
    <row r="831">
      <c r="F831" s="49"/>
      <c r="R831" s="73"/>
    </row>
    <row r="832">
      <c r="F832" s="49"/>
      <c r="R832" s="73"/>
    </row>
    <row r="833">
      <c r="F833" s="49"/>
      <c r="R833" s="73"/>
    </row>
    <row r="834">
      <c r="F834" s="49"/>
      <c r="R834" s="73"/>
    </row>
    <row r="835">
      <c r="F835" s="49"/>
      <c r="R835" s="73"/>
    </row>
    <row r="836">
      <c r="F836" s="49"/>
      <c r="R836" s="73"/>
    </row>
    <row r="837">
      <c r="F837" s="49"/>
      <c r="R837" s="73"/>
    </row>
    <row r="838">
      <c r="F838" s="49"/>
      <c r="R838" s="73"/>
    </row>
    <row r="839">
      <c r="F839" s="49"/>
      <c r="R839" s="73"/>
    </row>
    <row r="840">
      <c r="F840" s="49"/>
      <c r="R840" s="73"/>
    </row>
    <row r="841">
      <c r="F841" s="49"/>
      <c r="R841" s="73"/>
    </row>
    <row r="842">
      <c r="F842" s="49"/>
      <c r="R842" s="73"/>
    </row>
    <row r="843">
      <c r="F843" s="49"/>
      <c r="R843" s="73"/>
    </row>
    <row r="844">
      <c r="F844" s="49"/>
      <c r="R844" s="73"/>
    </row>
    <row r="845">
      <c r="F845" s="49"/>
      <c r="R845" s="73"/>
    </row>
    <row r="846">
      <c r="F846" s="49"/>
      <c r="R846" s="73"/>
    </row>
    <row r="847">
      <c r="F847" s="49"/>
      <c r="R847" s="73"/>
    </row>
    <row r="848">
      <c r="F848" s="49"/>
      <c r="R848" s="73"/>
    </row>
    <row r="849">
      <c r="F849" s="49"/>
      <c r="R849" s="73"/>
    </row>
    <row r="850">
      <c r="F850" s="49"/>
      <c r="R850" s="73"/>
    </row>
    <row r="851">
      <c r="F851" s="49"/>
      <c r="R851" s="73"/>
    </row>
    <row r="852">
      <c r="F852" s="49"/>
      <c r="R852" s="73"/>
    </row>
    <row r="853">
      <c r="F853" s="49"/>
      <c r="R853" s="73"/>
    </row>
    <row r="854">
      <c r="F854" s="49"/>
      <c r="R854" s="73"/>
    </row>
    <row r="855">
      <c r="F855" s="49"/>
      <c r="R855" s="73"/>
    </row>
    <row r="856">
      <c r="F856" s="49"/>
      <c r="R856" s="73"/>
    </row>
    <row r="857">
      <c r="F857" s="49"/>
      <c r="R857" s="73"/>
    </row>
    <row r="858">
      <c r="F858" s="49"/>
      <c r="R858" s="73"/>
    </row>
    <row r="859">
      <c r="F859" s="49"/>
      <c r="R859" s="73"/>
    </row>
    <row r="860">
      <c r="F860" s="49"/>
      <c r="R860" s="73"/>
    </row>
    <row r="861">
      <c r="F861" s="49"/>
      <c r="R861" s="73"/>
    </row>
    <row r="862">
      <c r="F862" s="49"/>
      <c r="R862" s="73"/>
    </row>
    <row r="863">
      <c r="F863" s="49"/>
      <c r="R863" s="73"/>
    </row>
    <row r="864">
      <c r="F864" s="49"/>
      <c r="R864" s="73"/>
    </row>
    <row r="865">
      <c r="F865" s="49"/>
      <c r="R865" s="73"/>
    </row>
    <row r="866">
      <c r="F866" s="49"/>
      <c r="R866" s="73"/>
    </row>
    <row r="867">
      <c r="F867" s="49"/>
      <c r="R867" s="73"/>
    </row>
    <row r="868">
      <c r="F868" s="49"/>
      <c r="R868" s="73"/>
    </row>
    <row r="869">
      <c r="F869" s="49"/>
      <c r="R869" s="73"/>
    </row>
    <row r="870">
      <c r="F870" s="49"/>
      <c r="R870" s="73"/>
    </row>
    <row r="871">
      <c r="F871" s="49"/>
      <c r="R871" s="73"/>
    </row>
    <row r="872">
      <c r="F872" s="49"/>
      <c r="R872" s="73"/>
    </row>
    <row r="873">
      <c r="F873" s="49"/>
      <c r="R873" s="73"/>
    </row>
    <row r="874">
      <c r="F874" s="49"/>
      <c r="R874" s="73"/>
    </row>
    <row r="875">
      <c r="F875" s="49"/>
      <c r="R875" s="73"/>
    </row>
    <row r="876">
      <c r="F876" s="49"/>
      <c r="R876" s="73"/>
    </row>
    <row r="877">
      <c r="F877" s="49"/>
      <c r="R877" s="73"/>
    </row>
    <row r="878">
      <c r="F878" s="49"/>
      <c r="R878" s="73"/>
    </row>
    <row r="879">
      <c r="F879" s="49"/>
      <c r="R879" s="73"/>
    </row>
    <row r="880">
      <c r="F880" s="49"/>
      <c r="R880" s="73"/>
    </row>
    <row r="881">
      <c r="F881" s="49"/>
      <c r="R881" s="73"/>
    </row>
    <row r="882">
      <c r="F882" s="49"/>
      <c r="R882" s="73"/>
    </row>
    <row r="883">
      <c r="F883" s="49"/>
      <c r="R883" s="73"/>
    </row>
    <row r="884">
      <c r="F884" s="49"/>
      <c r="R884" s="73"/>
    </row>
    <row r="885">
      <c r="F885" s="49"/>
      <c r="R885" s="73"/>
    </row>
    <row r="886">
      <c r="F886" s="49"/>
      <c r="R886" s="73"/>
    </row>
    <row r="887">
      <c r="F887" s="49"/>
      <c r="R887" s="73"/>
    </row>
    <row r="888">
      <c r="F888" s="49"/>
      <c r="R888" s="73"/>
    </row>
    <row r="889">
      <c r="F889" s="49"/>
      <c r="R889" s="73"/>
    </row>
    <row r="890">
      <c r="F890" s="49"/>
      <c r="R890" s="73"/>
    </row>
    <row r="891">
      <c r="F891" s="49"/>
      <c r="R891" s="73"/>
    </row>
    <row r="892">
      <c r="F892" s="49"/>
      <c r="R892" s="73"/>
    </row>
    <row r="893">
      <c r="F893" s="49"/>
      <c r="R893" s="73"/>
    </row>
    <row r="894">
      <c r="F894" s="49"/>
      <c r="R894" s="73"/>
    </row>
    <row r="895">
      <c r="F895" s="49"/>
      <c r="R895" s="73"/>
    </row>
    <row r="896">
      <c r="F896" s="49"/>
      <c r="R896" s="73"/>
    </row>
    <row r="897">
      <c r="F897" s="49"/>
      <c r="R897" s="73"/>
    </row>
    <row r="898">
      <c r="F898" s="49"/>
      <c r="R898" s="73"/>
    </row>
    <row r="899">
      <c r="F899" s="49"/>
      <c r="R899" s="73"/>
    </row>
    <row r="900">
      <c r="F900" s="49"/>
      <c r="R900" s="73"/>
    </row>
    <row r="901">
      <c r="F901" s="49"/>
      <c r="R901" s="73"/>
    </row>
    <row r="902">
      <c r="F902" s="49"/>
      <c r="R902" s="73"/>
    </row>
    <row r="903">
      <c r="F903" s="49"/>
      <c r="R903" s="73"/>
    </row>
    <row r="904">
      <c r="F904" s="49"/>
      <c r="R904" s="73"/>
    </row>
    <row r="905">
      <c r="F905" s="49"/>
      <c r="R905" s="73"/>
    </row>
    <row r="906">
      <c r="F906" s="49"/>
      <c r="R906" s="73"/>
    </row>
    <row r="907">
      <c r="F907" s="49"/>
      <c r="R907" s="73"/>
    </row>
    <row r="908">
      <c r="F908" s="49"/>
      <c r="R908" s="73"/>
    </row>
    <row r="909">
      <c r="F909" s="49"/>
      <c r="R909" s="73"/>
    </row>
    <row r="910">
      <c r="F910" s="49"/>
      <c r="R910" s="73"/>
    </row>
    <row r="911">
      <c r="F911" s="49"/>
      <c r="R911" s="73"/>
    </row>
    <row r="912">
      <c r="F912" s="49"/>
      <c r="R912" s="73"/>
    </row>
    <row r="913">
      <c r="F913" s="49"/>
      <c r="R913" s="73"/>
    </row>
    <row r="914">
      <c r="F914" s="49"/>
      <c r="R914" s="73"/>
    </row>
    <row r="915">
      <c r="F915" s="49"/>
      <c r="R915" s="73"/>
    </row>
    <row r="916">
      <c r="F916" s="49"/>
      <c r="R916" s="73"/>
    </row>
    <row r="917">
      <c r="F917" s="49"/>
      <c r="R917" s="73"/>
    </row>
    <row r="918">
      <c r="F918" s="49"/>
      <c r="R918" s="73"/>
    </row>
    <row r="919">
      <c r="F919" s="49"/>
      <c r="R919" s="73"/>
    </row>
    <row r="920">
      <c r="F920" s="49"/>
      <c r="R920" s="73"/>
    </row>
    <row r="921">
      <c r="F921" s="49"/>
      <c r="R921" s="73"/>
    </row>
    <row r="922">
      <c r="F922" s="49"/>
      <c r="R922" s="73"/>
    </row>
    <row r="923">
      <c r="F923" s="49"/>
      <c r="R923" s="73"/>
    </row>
    <row r="924">
      <c r="F924" s="49"/>
      <c r="R924" s="73"/>
    </row>
    <row r="925">
      <c r="F925" s="49"/>
      <c r="R925" s="73"/>
    </row>
    <row r="926">
      <c r="F926" s="49"/>
      <c r="R926" s="73"/>
    </row>
    <row r="927">
      <c r="F927" s="49"/>
      <c r="R927" s="73"/>
    </row>
    <row r="928">
      <c r="F928" s="49"/>
      <c r="R928" s="73"/>
    </row>
    <row r="929">
      <c r="F929" s="49"/>
      <c r="R929" s="73"/>
    </row>
    <row r="930">
      <c r="F930" s="49"/>
      <c r="R930" s="73"/>
    </row>
    <row r="931">
      <c r="F931" s="49"/>
      <c r="R931" s="73"/>
    </row>
    <row r="932">
      <c r="F932" s="49"/>
      <c r="R932" s="73"/>
    </row>
    <row r="933">
      <c r="F933" s="49"/>
      <c r="R933" s="73"/>
    </row>
    <row r="934">
      <c r="F934" s="49"/>
      <c r="R934" s="73"/>
    </row>
    <row r="935">
      <c r="F935" s="49"/>
      <c r="R935" s="73"/>
    </row>
    <row r="936">
      <c r="F936" s="49"/>
      <c r="R936" s="73"/>
    </row>
    <row r="937">
      <c r="F937" s="49"/>
      <c r="R937" s="73"/>
    </row>
    <row r="938">
      <c r="F938" s="49"/>
      <c r="R938" s="73"/>
    </row>
    <row r="939">
      <c r="F939" s="49"/>
      <c r="R939" s="73"/>
    </row>
    <row r="940">
      <c r="F940" s="49"/>
      <c r="R940" s="73"/>
    </row>
    <row r="941">
      <c r="F941" s="49"/>
      <c r="R941" s="73"/>
    </row>
    <row r="942">
      <c r="F942" s="49"/>
      <c r="R942" s="73"/>
    </row>
    <row r="943">
      <c r="F943" s="49"/>
      <c r="R943" s="73"/>
    </row>
    <row r="944">
      <c r="F944" s="49"/>
      <c r="R944" s="73"/>
    </row>
    <row r="945">
      <c r="F945" s="49"/>
      <c r="R945" s="73"/>
    </row>
    <row r="946">
      <c r="F946" s="49"/>
      <c r="R946" s="73"/>
    </row>
    <row r="947">
      <c r="F947" s="49"/>
      <c r="R947" s="73"/>
    </row>
    <row r="948">
      <c r="F948" s="49"/>
      <c r="R948" s="73"/>
    </row>
    <row r="949">
      <c r="F949" s="49"/>
      <c r="R949" s="73"/>
    </row>
    <row r="950">
      <c r="F950" s="49"/>
      <c r="R950" s="73"/>
    </row>
    <row r="951">
      <c r="F951" s="49"/>
      <c r="R951" s="73"/>
    </row>
    <row r="952">
      <c r="F952" s="49"/>
      <c r="R952" s="73"/>
    </row>
    <row r="953">
      <c r="F953" s="49"/>
      <c r="R953" s="73"/>
    </row>
    <row r="954">
      <c r="F954" s="49"/>
      <c r="R954" s="73"/>
    </row>
    <row r="955">
      <c r="F955" s="49"/>
      <c r="R955" s="73"/>
    </row>
    <row r="956">
      <c r="F956" s="49"/>
      <c r="R956" s="73"/>
    </row>
    <row r="957">
      <c r="F957" s="49"/>
      <c r="R957" s="73"/>
    </row>
    <row r="958">
      <c r="F958" s="49"/>
      <c r="R958" s="73"/>
    </row>
    <row r="959">
      <c r="F959" s="49"/>
      <c r="R959" s="73"/>
    </row>
    <row r="960">
      <c r="F960" s="49"/>
      <c r="R960" s="73"/>
    </row>
    <row r="961">
      <c r="F961" s="49"/>
      <c r="R961" s="73"/>
    </row>
    <row r="962">
      <c r="F962" s="49"/>
      <c r="R962" s="73"/>
    </row>
    <row r="963">
      <c r="F963" s="49"/>
      <c r="R963" s="73"/>
    </row>
    <row r="964">
      <c r="F964" s="49"/>
      <c r="R964" s="73"/>
    </row>
    <row r="965">
      <c r="F965" s="49"/>
      <c r="R965" s="73"/>
    </row>
    <row r="966">
      <c r="F966" s="49"/>
      <c r="R966" s="73"/>
    </row>
    <row r="967">
      <c r="F967" s="49"/>
      <c r="R967" s="73"/>
    </row>
    <row r="968">
      <c r="F968" s="49"/>
      <c r="R968" s="73"/>
    </row>
    <row r="969">
      <c r="F969" s="49"/>
      <c r="R969" s="73"/>
    </row>
    <row r="970">
      <c r="F970" s="49"/>
      <c r="R970" s="73"/>
    </row>
    <row r="971">
      <c r="F971" s="49"/>
      <c r="R971" s="73"/>
    </row>
    <row r="972">
      <c r="F972" s="49"/>
      <c r="R972" s="73"/>
    </row>
    <row r="973">
      <c r="F973" s="49"/>
      <c r="R973" s="73"/>
    </row>
    <row r="974">
      <c r="F974" s="49"/>
      <c r="R974" s="73"/>
    </row>
    <row r="975">
      <c r="F975" s="49"/>
      <c r="R975" s="73"/>
    </row>
    <row r="976">
      <c r="F976" s="49"/>
      <c r="R976" s="73"/>
    </row>
    <row r="977">
      <c r="F977" s="49"/>
      <c r="R977" s="73"/>
    </row>
    <row r="978">
      <c r="F978" s="49"/>
      <c r="R978" s="73"/>
    </row>
    <row r="979">
      <c r="F979" s="49"/>
      <c r="R979" s="73"/>
    </row>
    <row r="980">
      <c r="F980" s="49"/>
      <c r="R980" s="73"/>
    </row>
    <row r="981">
      <c r="F981" s="49"/>
      <c r="R981" s="73"/>
    </row>
    <row r="982">
      <c r="F982" s="49"/>
      <c r="R982" s="73"/>
    </row>
  </sheetData>
  <conditionalFormatting sqref="B1:D982 M1:M982">
    <cfRule type="containsText" dxfId="5" priority="1" operator="containsText" text="Error">
      <formula>NOT(ISERROR(SEARCH(("Error"),(B1))))</formula>
    </cfRule>
  </conditionalFormatting>
  <dataValidations>
    <dataValidation type="custom" allowBlank="1" showDropDown="1" sqref="N2:N453">
      <formula1>OR(NOT(ISERROR(DATEVALUE(N2))), AND(ISNUMBER(N2), LEFT(CELL("format", N2))="D"))</formula1>
    </dataValidation>
    <dataValidation type="custom" allowBlank="1" showDropDown="1" sqref="E2:G453 Q2:R453">
      <formula1>AND(ISNUMBER(E2),(NOT(OR(NOT(ISERROR(DATEVALUE(E2))), AND(ISNUMBER(E2), LEFT(CELL("format", E2))="D")))))</formula1>
    </dataValidation>
    <dataValidation allowBlank="1" showDropDown="1" sqref="A2:B453"/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9.0"/>
    <col customWidth="1" min="5" max="5" width="7.25"/>
    <col customWidth="1" min="9" max="9" width="1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6" t="s">
        <v>5</v>
      </c>
      <c r="E4" s="7"/>
      <c r="F4" s="8"/>
      <c r="G4" s="9" t="s">
        <v>6</v>
      </c>
      <c r="H4" s="10"/>
      <c r="I4" s="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3"/>
      <c r="E5" s="14"/>
      <c r="F5" s="8"/>
      <c r="G5" s="15"/>
      <c r="I5" s="1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7" t="str">
        <f>CONCATENATE("1. ", Backend!O3)</f>
        <v>1. Dune: Part Two</v>
      </c>
      <c r="E6" s="18">
        <f>Backend!P3</f>
        <v>9.833333333</v>
      </c>
      <c r="F6" s="1"/>
      <c r="G6" s="20">
        <f>COUNTA(Movies!D:D)</f>
        <v>309</v>
      </c>
      <c r="H6" s="10"/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22" t="str">
        <f>CONCATENATE("2. ", Backend!O4)</f>
        <v>2. Interstellar</v>
      </c>
      <c r="E7" s="24">
        <f>Backend!P4</f>
        <v>9.816666667</v>
      </c>
      <c r="F7" s="1"/>
      <c r="G7" s="15"/>
      <c r="I7" s="1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7" t="str">
        <f>CONCATENATE("3. ", Backend!O5)</f>
        <v>3. Gladiator</v>
      </c>
      <c r="E8" s="18">
        <f>Backend!P5</f>
        <v>9.633333333</v>
      </c>
      <c r="F8" s="1"/>
      <c r="G8" s="28"/>
      <c r="H8" s="29"/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22" t="str">
        <f>CONCATENATE("4. ", Backend!O6)</f>
        <v>4. Dune</v>
      </c>
      <c r="E9" s="24">
        <f>Backend!P6</f>
        <v>9.616666667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7" t="str">
        <f>CONCATENATE("5. ", Backend!O7)</f>
        <v>5. The Prestige</v>
      </c>
      <c r="E10" s="18">
        <f>Backend!P7</f>
        <v>9.533333333</v>
      </c>
      <c r="F10" s="1"/>
      <c r="G10" s="9" t="s">
        <v>25</v>
      </c>
      <c r="H10" s="10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22" t="str">
        <f>CONCATENATE("6. ", Backend!O8)</f>
        <v>6. Se7en</v>
      </c>
      <c r="E11" s="24">
        <f>Backend!P8</f>
        <v>9.516666667</v>
      </c>
      <c r="F11" s="1"/>
      <c r="G11" s="15"/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7" t="str">
        <f>CONCATENATE("7. ", Backend!O9)</f>
        <v>7. 1917</v>
      </c>
      <c r="E12" s="18">
        <f>Backend!P9</f>
        <v>9.45</v>
      </c>
      <c r="F12" s="1"/>
      <c r="G12" s="42">
        <f>IFERROR(__xludf.DUMMYFUNCTION("SUMPRODUCT((Movies!D2:D1000&lt;&gt;"""")*(ISNUMBER(VALUE(REGEXREPLACE(Movies!M2:M1000, "" min"", """"))))*(IFERROR(VALUE(REGEXREPLACE(Movies!M2:M1000, "" min"", """")), 0))) / 60"),627.1166666666667)</f>
        <v>627.1166667</v>
      </c>
      <c r="H12" s="10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22" t="str">
        <f>CONCATENATE("8. ", Backend!O10)</f>
        <v>8. Whiplash</v>
      </c>
      <c r="E13" s="24">
        <f>Backend!P10</f>
        <v>9.433333333</v>
      </c>
      <c r="F13" s="1"/>
      <c r="G13" s="15"/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7" t="str">
        <f>CONCATENATE("9. ", Backend!O11)</f>
        <v>9. Inception</v>
      </c>
      <c r="E14" s="18">
        <f>Backend!P11</f>
        <v>9.4</v>
      </c>
      <c r="F14" s="1"/>
      <c r="G14" s="28"/>
      <c r="H14" s="29"/>
      <c r="I14" s="3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46" t="str">
        <f>CONCATENATE("10. ", Backend!O12)</f>
        <v>10. Edge Of Tomorrow</v>
      </c>
      <c r="E15" s="47">
        <f>Backend!P12</f>
        <v>9.35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D4:E5"/>
    <mergeCell ref="G4:I5"/>
    <mergeCell ref="G6:I8"/>
    <mergeCell ref="G10:I11"/>
    <mergeCell ref="G12:I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9" max="9" width="12.88"/>
    <col customWidth="1" min="15" max="15" width="16.75"/>
  </cols>
  <sheetData>
    <row r="1">
      <c r="G1" s="2" t="s">
        <v>0</v>
      </c>
      <c r="J1" s="3" t="s">
        <v>1</v>
      </c>
      <c r="O1" s="2" t="s">
        <v>2</v>
      </c>
      <c r="S1" s="3" t="s">
        <v>3</v>
      </c>
      <c r="W1" s="4" t="s">
        <v>4</v>
      </c>
      <c r="AB1" s="5"/>
    </row>
    <row r="2">
      <c r="B2" s="11" t="str">
        <f>Movies!C2</f>
        <v>Action, Adventure, Drama</v>
      </c>
      <c r="C2" s="11" t="str">
        <f>IFERROR(__xludf.DUMMYFUNCTION("ARRAYFORMULA(TRIM(SPLIT(B2, "","")))
"),"Action")</f>
        <v>Action</v>
      </c>
      <c r="D2" s="11" t="str">
        <f>IFERROR(__xludf.DUMMYFUNCTION("""COMPUTED_VALUE"""),"Adventure")</f>
        <v>Adventure</v>
      </c>
      <c r="E2" s="11" t="str">
        <f>IFERROR(__xludf.DUMMYFUNCTION("""COMPUTED_VALUE"""),"Drama")</f>
        <v>Drama</v>
      </c>
      <c r="G2" s="11" t="str">
        <f>IFERROR(__xludf.DUMMYFUNCTION("UNIQUE(FLATTEN(C2:E1000))"),"Action")</f>
        <v>Action</v>
      </c>
      <c r="H2" s="11">
        <f t="shared" ref="H2:H15" si="1">COUNTIF(C2:E1000, G2)</f>
        <v>171</v>
      </c>
      <c r="J2" s="19">
        <v>0.1</v>
      </c>
      <c r="K2" s="11">
        <f>COUNTIFS(Movies[Final Score], "&lt;" &amp; J2, Movies[Final Score], "&gt;=" &amp; J1)
</f>
        <v>0</v>
      </c>
      <c r="L2" s="27">
        <v>1.0</v>
      </c>
      <c r="M2" s="11">
        <f>COUNTIFS(Movies[Final Score], "&lt;" &amp; L3, Movies[Final Score], "&gt;=" &amp; L2)
</f>
        <v>1</v>
      </c>
      <c r="S2" s="31">
        <f>IFERROR(__xludf.DUMMYFUNCTION("SORT(UNIQUE(QUERY(Movies!N2:N1000, ""select N where N is not null"", 0)))
"),45604.0)</f>
        <v>45604</v>
      </c>
      <c r="T2" s="34">
        <f>COUNTIF(Movies!N:N, S2)</f>
        <v>1</v>
      </c>
      <c r="U2" s="11">
        <f t="shared" ref="U2:U131" si="2">SUM($T$2:T2)</f>
        <v>1</v>
      </c>
      <c r="W2" s="31">
        <f>IFERROR(__xludf.DUMMYFUNCTION("SORT(UNIQUE(QUERY(ARRAYFORMULA(DATEVALUE(Movies!B2:B1000)),""select Col1 where Col1 is not null"",0)))
"),23911.0)</f>
        <v>23911</v>
      </c>
      <c r="X2" s="40">
        <f>IFERROR(__xludf.DUMMYFUNCTION("FILTER(
  Movies!F2:F1000,
  DATEVALUE(Movies!B2:B1000) = W2
)
"),7.916666666666667)</f>
        <v>7.916666667</v>
      </c>
      <c r="Y2" s="5"/>
      <c r="Z2" s="5"/>
      <c r="AA2" s="5"/>
      <c r="AB2" s="5"/>
    </row>
    <row r="3">
      <c r="B3" s="11" t="str">
        <f>Movies!C3</f>
        <v>Adventure, Drama, Sci-Fi</v>
      </c>
      <c r="C3" s="11" t="str">
        <f>IFERROR(__xludf.DUMMYFUNCTION("ARRAYFORMULA(TRIM(SPLIT(B3, "","")))
"),"Adventure")</f>
        <v>Adventure</v>
      </c>
      <c r="D3" s="11" t="str">
        <f>IFERROR(__xludf.DUMMYFUNCTION("""COMPUTED_VALUE"""),"Drama")</f>
        <v>Drama</v>
      </c>
      <c r="E3" s="11" t="str">
        <f>IFERROR(__xludf.DUMMYFUNCTION("""COMPUTED_VALUE"""),"Sci-Fi")</f>
        <v>Sci-Fi</v>
      </c>
      <c r="G3" s="11" t="str">
        <f>IFERROR(__xludf.DUMMYFUNCTION("""COMPUTED_VALUE"""),"Adventure")</f>
        <v>Adventure</v>
      </c>
      <c r="H3" s="11">
        <f t="shared" si="1"/>
        <v>132</v>
      </c>
      <c r="J3" s="19">
        <v>0.2</v>
      </c>
      <c r="K3" s="11">
        <f>COUNTIFS(Movies[Final Score], "&lt;" &amp; J3, Movies[Final Score], "&gt;=" &amp; J2)
</f>
        <v>0</v>
      </c>
      <c r="L3" s="27">
        <v>2.0</v>
      </c>
      <c r="M3" s="11">
        <f>COUNTIFS(Movies[Final Score], "&lt;" &amp; L4, Movies[Final Score], "&gt;=" &amp; L3)
</f>
        <v>1</v>
      </c>
      <c r="O3" s="48" t="str">
        <f>IFERROR(__xludf.DUMMYFUNCTION("SORTN(Movies!A2:A1000, 10, 0, 6, FALSE)"),"Dune: Part Two")</f>
        <v>Dune: Part Two</v>
      </c>
      <c r="P3" s="49">
        <f>IFERROR(__xludf.DUMMYFUNCTION("SORTN(Movies!F2:F1000, 10, 0, 6, FALSE)"),9.833333333333334)</f>
        <v>9.833333333</v>
      </c>
      <c r="S3" s="31">
        <f>IFERROR(__xludf.DUMMYFUNCTION("""COMPUTED_VALUE"""),45608.0)</f>
        <v>45608</v>
      </c>
      <c r="T3" s="34">
        <f>COUNTIF(Movies!N:N, S3)</f>
        <v>10</v>
      </c>
      <c r="U3" s="11">
        <f t="shared" si="2"/>
        <v>11</v>
      </c>
      <c r="W3" s="51">
        <f>IFERROR(__xludf.DUMMYFUNCTION("""COMPUTED_VALUE"""),26331.0)</f>
        <v>26331</v>
      </c>
      <c r="X3" s="40">
        <f>IFERROR(__xludf.DUMMYFUNCTION("FILTER(
  Movies!F3:F1000,
  DATEVALUE(Movies!B3:B1000) = W3
)
"),7.233333333333333)</f>
        <v>7.233333333</v>
      </c>
      <c r="Y3" s="5"/>
      <c r="Z3" s="5"/>
      <c r="AA3" s="5"/>
      <c r="AB3" s="5"/>
    </row>
    <row r="4">
      <c r="B4" s="11" t="str">
        <f>Movies!C4</f>
        <v>Action, Adventure, Drama</v>
      </c>
      <c r="C4" s="11" t="str">
        <f>IFERROR(__xludf.DUMMYFUNCTION("ARRAYFORMULA(TRIM(SPLIT(B4, "","")))
"),"Action")</f>
        <v>Action</v>
      </c>
      <c r="D4" s="11" t="str">
        <f>IFERROR(__xludf.DUMMYFUNCTION("""COMPUTED_VALUE"""),"Adventure")</f>
        <v>Adventure</v>
      </c>
      <c r="E4" s="11" t="str">
        <f>IFERROR(__xludf.DUMMYFUNCTION("""COMPUTED_VALUE"""),"Drama")</f>
        <v>Drama</v>
      </c>
      <c r="G4" s="11" t="str">
        <f>IFERROR(__xludf.DUMMYFUNCTION("""COMPUTED_VALUE"""),"Drama")</f>
        <v>Drama</v>
      </c>
      <c r="H4" s="11">
        <f t="shared" si="1"/>
        <v>105</v>
      </c>
      <c r="J4" s="19">
        <v>0.3</v>
      </c>
      <c r="K4" s="11">
        <f>COUNTIFS(Movies[Final Score], "&lt;" &amp; J4, Movies[Final Score], "&gt;=" &amp; J3)
</f>
        <v>0</v>
      </c>
      <c r="L4" s="27">
        <v>3.0</v>
      </c>
      <c r="M4" s="11">
        <f>COUNTIFS(Movies[Final Score], "&lt;" &amp; L5, Movies[Final Score], "&gt;=" &amp; L4)
</f>
        <v>2</v>
      </c>
      <c r="O4" s="48" t="str">
        <f>IFERROR(__xludf.DUMMYFUNCTION("""COMPUTED_VALUE"""),"Interstellar")</f>
        <v>Interstellar</v>
      </c>
      <c r="P4" s="49">
        <f>IFERROR(__xludf.DUMMYFUNCTION("""COMPUTED_VALUE"""),9.816666666666668)</f>
        <v>9.816666667</v>
      </c>
      <c r="S4" s="31">
        <f>IFERROR(__xludf.DUMMYFUNCTION("""COMPUTED_VALUE"""),45610.0)</f>
        <v>45610</v>
      </c>
      <c r="T4" s="34">
        <f>COUNTIF(Movies!N:N, S4)</f>
        <v>1</v>
      </c>
      <c r="U4" s="11">
        <f t="shared" si="2"/>
        <v>12</v>
      </c>
      <c r="W4" s="51">
        <f>IFERROR(__xludf.DUMMYFUNCTION("""COMPUTED_VALUE"""),28336.0)</f>
        <v>28336</v>
      </c>
      <c r="X4" s="40">
        <f>IFERROR(__xludf.DUMMYFUNCTION("FILTER(
  Movies!F4:F1000,
  DATEVALUE(Movies!B4:B1000) = W4
)
"),3.4166666666666665)</f>
        <v>3.416666667</v>
      </c>
      <c r="Y4" s="5"/>
      <c r="Z4" s="5"/>
      <c r="AA4" s="5"/>
      <c r="AB4" s="5"/>
    </row>
    <row r="5">
      <c r="B5" s="11" t="str">
        <f>Movies!C5</f>
        <v>Action, Adventure, Sci-Fi</v>
      </c>
      <c r="C5" s="11" t="str">
        <f>IFERROR(__xludf.DUMMYFUNCTION("ARRAYFORMULA(TRIM(SPLIT(B5, "","")))
"),"Action")</f>
        <v>Action</v>
      </c>
      <c r="D5" s="11" t="str">
        <f>IFERROR(__xludf.DUMMYFUNCTION("""COMPUTED_VALUE"""),"Adventure")</f>
        <v>Adventure</v>
      </c>
      <c r="E5" s="11" t="str">
        <f>IFERROR(__xludf.DUMMYFUNCTION("""COMPUTED_VALUE"""),"Sci-Fi")</f>
        <v>Sci-Fi</v>
      </c>
      <c r="G5" s="11" t="str">
        <f>IFERROR(__xludf.DUMMYFUNCTION("""COMPUTED_VALUE"""),"Sci-Fi")</f>
        <v>Sci-Fi</v>
      </c>
      <c r="H5" s="11">
        <f t="shared" si="1"/>
        <v>75</v>
      </c>
      <c r="J5" s="19">
        <v>0.4</v>
      </c>
      <c r="K5" s="11">
        <f>COUNTIFS(Movies[Final Score], "&lt;" &amp; J5, Movies[Final Score], "&gt;=" &amp; J4)
</f>
        <v>0</v>
      </c>
      <c r="L5" s="27">
        <v>4.0</v>
      </c>
      <c r="M5" s="11">
        <f>COUNTIFS(Movies[Final Score], "&lt;" &amp; L6, Movies[Final Score], "&gt;=" &amp; L5)
</f>
        <v>10</v>
      </c>
      <c r="O5" s="48" t="str">
        <f>IFERROR(__xludf.DUMMYFUNCTION("""COMPUTED_VALUE"""),"Gladiator")</f>
        <v>Gladiator</v>
      </c>
      <c r="P5" s="49">
        <f>IFERROR(__xludf.DUMMYFUNCTION("""COMPUTED_VALUE"""),9.633333333333333)</f>
        <v>9.633333333</v>
      </c>
      <c r="S5" s="31">
        <f>IFERROR(__xludf.DUMMYFUNCTION("""COMPUTED_VALUE"""),45620.0)</f>
        <v>45620</v>
      </c>
      <c r="T5" s="34">
        <f>COUNTIF(Movies!N:N, S5)</f>
        <v>1</v>
      </c>
      <c r="U5" s="11">
        <f t="shared" si="2"/>
        <v>13</v>
      </c>
      <c r="W5" s="51">
        <f>IFERROR(__xludf.DUMMYFUNCTION("""COMPUTED_VALUE"""),28529.0)</f>
        <v>28529</v>
      </c>
      <c r="X5" s="40">
        <f>IFERROR(__xludf.DUMMYFUNCTION("FILTER(
  Movies!F5:F1000,
  DATEVALUE(Movies!B5:B1000) = W5
)
"),8.033333333333333)</f>
        <v>8.033333333</v>
      </c>
      <c r="Y5" s="5"/>
      <c r="Z5" s="5"/>
      <c r="AA5" s="5"/>
      <c r="AB5" s="5"/>
    </row>
    <row r="6">
      <c r="B6" s="11" t="str">
        <f>Movies!C6</f>
        <v>Drama, Mystery, Sci-Fi</v>
      </c>
      <c r="C6" s="11" t="str">
        <f>IFERROR(__xludf.DUMMYFUNCTION("ARRAYFORMULA(TRIM(SPLIT(B6, "","")))
"),"Drama")</f>
        <v>Drama</v>
      </c>
      <c r="D6" s="11" t="str">
        <f>IFERROR(__xludf.DUMMYFUNCTION("""COMPUTED_VALUE"""),"Mystery")</f>
        <v>Mystery</v>
      </c>
      <c r="E6" s="11" t="str">
        <f>IFERROR(__xludf.DUMMYFUNCTION("""COMPUTED_VALUE"""),"Sci-Fi")</f>
        <v>Sci-Fi</v>
      </c>
      <c r="G6" s="11" t="str">
        <f>IFERROR(__xludf.DUMMYFUNCTION("""COMPUTED_VALUE"""),"Mystery")</f>
        <v>Mystery</v>
      </c>
      <c r="H6" s="11">
        <f t="shared" si="1"/>
        <v>24</v>
      </c>
      <c r="J6" s="19">
        <v>0.5</v>
      </c>
      <c r="K6" s="11">
        <f>COUNTIFS(Movies[Final Score], "&lt;" &amp; J6, Movies[Final Score], "&gt;=" &amp; J5)
</f>
        <v>0</v>
      </c>
      <c r="L6" s="27">
        <v>5.0</v>
      </c>
      <c r="M6" s="11">
        <f>COUNTIFS(Movies[Final Score], "&lt;" &amp; L7, Movies[Final Score], "&gt;=" &amp; L6)
</f>
        <v>30</v>
      </c>
      <c r="O6" s="48" t="str">
        <f>IFERROR(__xludf.DUMMYFUNCTION("""COMPUTED_VALUE"""),"Dune")</f>
        <v>Dune</v>
      </c>
      <c r="P6" s="49">
        <f>IFERROR(__xludf.DUMMYFUNCTION("""COMPUTED_VALUE"""),9.616666666666665)</f>
        <v>9.616666667</v>
      </c>
      <c r="S6" s="31">
        <f>IFERROR(__xludf.DUMMYFUNCTION("""COMPUTED_VALUE"""),45625.0)</f>
        <v>45625</v>
      </c>
      <c r="T6" s="34">
        <f>COUNTIF(Movies!N:N, S6)</f>
        <v>14</v>
      </c>
      <c r="U6" s="11">
        <f t="shared" si="2"/>
        <v>27</v>
      </c>
      <c r="W6" s="51">
        <f>IFERROR(__xludf.DUMMYFUNCTION("""COMPUTED_VALUE"""),30127.0)</f>
        <v>30127</v>
      </c>
      <c r="X6" s="40">
        <f>IFERROR(__xludf.DUMMYFUNCTION("FILTER(
  Movies!F6:F1000,
  DATEVALUE(Movies!B6:B1000) = W6
)
"),7.233333333333333)</f>
        <v>7.233333333</v>
      </c>
      <c r="Y6" s="5"/>
      <c r="Z6" s="5"/>
      <c r="AA6" s="5"/>
      <c r="AB6" s="5"/>
    </row>
    <row r="7">
      <c r="B7" s="11" t="str">
        <f>Movies!C7</f>
        <v>Crime, Drama, Mystery</v>
      </c>
      <c r="C7" s="11" t="str">
        <f>IFERROR(__xludf.DUMMYFUNCTION("ARRAYFORMULA(TRIM(SPLIT(B7, "","")))
"),"Crime")</f>
        <v>Crime</v>
      </c>
      <c r="D7" s="11" t="str">
        <f>IFERROR(__xludf.DUMMYFUNCTION("""COMPUTED_VALUE"""),"Drama")</f>
        <v>Drama</v>
      </c>
      <c r="E7" s="11" t="str">
        <f>IFERROR(__xludf.DUMMYFUNCTION("""COMPUTED_VALUE"""),"Mystery")</f>
        <v>Mystery</v>
      </c>
      <c r="G7" s="11" t="str">
        <f>IFERROR(__xludf.DUMMYFUNCTION("""COMPUTED_VALUE"""),"Crime")</f>
        <v>Crime</v>
      </c>
      <c r="H7" s="11">
        <f t="shared" si="1"/>
        <v>40</v>
      </c>
      <c r="J7" s="19">
        <v>0.6</v>
      </c>
      <c r="K7" s="11">
        <f>COUNTIFS(Movies[Final Score], "&lt;" &amp; J7, Movies[Final Score], "&gt;=" &amp; J6)
</f>
        <v>0</v>
      </c>
      <c r="L7" s="27">
        <v>6.0</v>
      </c>
      <c r="M7" s="11">
        <f>COUNTIFS(Movies[Final Score], "&lt;" &amp; L8, Movies[Final Score], "&gt;=" &amp; L7)
</f>
        <v>64</v>
      </c>
      <c r="O7" s="48" t="str">
        <f>IFERROR(__xludf.DUMMYFUNCTION("""COMPUTED_VALUE"""),"The Prestige")</f>
        <v>The Prestige</v>
      </c>
      <c r="P7" s="49">
        <f>IFERROR(__xludf.DUMMYFUNCTION("""COMPUTED_VALUE"""),9.533333333333333)</f>
        <v>9.533333333</v>
      </c>
      <c r="S7" s="31">
        <f>IFERROR(__xludf.DUMMYFUNCTION("""COMPUTED_VALUE"""),45626.0)</f>
        <v>45626</v>
      </c>
      <c r="T7" s="34">
        <f>COUNTIF(Movies!N:N, S7)</f>
        <v>1</v>
      </c>
      <c r="U7" s="11">
        <f t="shared" si="2"/>
        <v>28</v>
      </c>
      <c r="W7" s="51">
        <f>IFERROR(__xludf.DUMMYFUNCTION("""COMPUTED_VALUE"""),31030.0)</f>
        <v>31030</v>
      </c>
      <c r="X7" s="5" t="str">
        <f>IFERROR(__xludf.DUMMYFUNCTION("FILTER(
  Movies!F7:F1000,
  DATEVALUE(Movies!B7:B1000) = W7
)
"),"#N/A")</f>
        <v>#N/A</v>
      </c>
      <c r="Y7" s="5"/>
      <c r="Z7" s="5"/>
      <c r="AA7" s="5"/>
      <c r="AB7" s="5"/>
    </row>
    <row r="8">
      <c r="B8" s="11" t="str">
        <f>Movies!C8</f>
        <v>Action, Drama, War</v>
      </c>
      <c r="C8" s="11" t="str">
        <f>IFERROR(__xludf.DUMMYFUNCTION("ARRAYFORMULA(TRIM(SPLIT(B8, "","")))
"),"Action")</f>
        <v>Action</v>
      </c>
      <c r="D8" s="11" t="str">
        <f>IFERROR(__xludf.DUMMYFUNCTION("""COMPUTED_VALUE"""),"Drama")</f>
        <v>Drama</v>
      </c>
      <c r="E8" s="11" t="str">
        <f>IFERROR(__xludf.DUMMYFUNCTION("""COMPUTED_VALUE"""),"War")</f>
        <v>War</v>
      </c>
      <c r="G8" s="11" t="str">
        <f>IFERROR(__xludf.DUMMYFUNCTION("""COMPUTED_VALUE"""),"War")</f>
        <v>War</v>
      </c>
      <c r="H8" s="11">
        <f t="shared" si="1"/>
        <v>6</v>
      </c>
      <c r="J8" s="19">
        <v>0.7</v>
      </c>
      <c r="K8" s="11">
        <f>COUNTIFS(Movies[Final Score], "&lt;" &amp; J8, Movies[Final Score], "&gt;=" &amp; J7)
</f>
        <v>0</v>
      </c>
      <c r="L8" s="27">
        <v>7.0</v>
      </c>
      <c r="M8" s="11">
        <f>COUNTIFS(Movies[Final Score], "&lt;" &amp; L9, Movies[Final Score], "&gt;=" &amp; L8)
</f>
        <v>94</v>
      </c>
      <c r="O8" s="11" t="str">
        <f>IFERROR(__xludf.DUMMYFUNCTION("""COMPUTED_VALUE"""),"Se7en")</f>
        <v>Se7en</v>
      </c>
      <c r="P8" s="49">
        <f>IFERROR(__xludf.DUMMYFUNCTION("""COMPUTED_VALUE"""),9.516666666666667)</f>
        <v>9.516666667</v>
      </c>
      <c r="S8" s="31">
        <f>IFERROR(__xludf.DUMMYFUNCTION("""COMPUTED_VALUE"""),45627.0)</f>
        <v>45627</v>
      </c>
      <c r="T8" s="34">
        <f>COUNTIF(Movies!N:N, S8)</f>
        <v>4</v>
      </c>
      <c r="U8" s="11">
        <f t="shared" si="2"/>
        <v>32</v>
      </c>
      <c r="W8" s="51">
        <f>IFERROR(__xludf.DUMMYFUNCTION("""COMPUTED_VALUE"""),33095.0)</f>
        <v>33095</v>
      </c>
      <c r="X8" s="40">
        <f>IFERROR(__xludf.DUMMYFUNCTION("FILTER(
  Movies!F8:F1000,
  DATEVALUE(Movies!B8:B1000) = W8
)
"),5.466666666666666)</f>
        <v>5.466666667</v>
      </c>
      <c r="Y8" s="5"/>
      <c r="Z8" s="5"/>
      <c r="AA8" s="5"/>
      <c r="AB8" s="5"/>
    </row>
    <row r="9">
      <c r="B9" s="11" t="str">
        <f>Movies!C9</f>
        <v>Drama, Music</v>
      </c>
      <c r="C9" s="11" t="str">
        <f>IFERROR(__xludf.DUMMYFUNCTION("ARRAYFORMULA(TRIM(SPLIT(B9, "","")))
"),"Drama")</f>
        <v>Drama</v>
      </c>
      <c r="D9" s="11" t="str">
        <f>IFERROR(__xludf.DUMMYFUNCTION("""COMPUTED_VALUE"""),"Music")</f>
        <v>Music</v>
      </c>
      <c r="G9" s="11" t="str">
        <f>IFERROR(__xludf.DUMMYFUNCTION("""COMPUTED_VALUE"""),"Music")</f>
        <v>Music</v>
      </c>
      <c r="H9" s="11">
        <f t="shared" si="1"/>
        <v>3</v>
      </c>
      <c r="J9" s="19">
        <v>0.8</v>
      </c>
      <c r="K9" s="11">
        <f>COUNTIFS(Movies[Final Score], "&lt;" &amp; J9, Movies[Final Score], "&gt;=" &amp; J8)
</f>
        <v>1</v>
      </c>
      <c r="L9" s="27">
        <v>8.0</v>
      </c>
      <c r="M9" s="11">
        <f>COUNTIFS(Movies[Final Score], "&lt;" &amp; L10, Movies[Final Score], "&gt;=" &amp; L9)
</f>
        <v>79</v>
      </c>
      <c r="O9" s="48" t="str">
        <f>IFERROR(__xludf.DUMMYFUNCTION("""COMPUTED_VALUE"""),"1917")</f>
        <v>1917</v>
      </c>
      <c r="P9" s="49">
        <f>IFERROR(__xludf.DUMMYFUNCTION("""COMPUTED_VALUE"""),9.45)</f>
        <v>9.45</v>
      </c>
      <c r="S9" s="31">
        <f>IFERROR(__xludf.DUMMYFUNCTION("""COMPUTED_VALUE"""),45628.0)</f>
        <v>45628</v>
      </c>
      <c r="T9" s="34">
        <f>COUNTIF(Movies!N:N, S9)</f>
        <v>23</v>
      </c>
      <c r="U9" s="11">
        <f t="shared" si="2"/>
        <v>55</v>
      </c>
      <c r="W9" s="51">
        <f>IFERROR(__xludf.DUMMYFUNCTION("""COMPUTED_VALUE"""),34131.0)</f>
        <v>34131</v>
      </c>
      <c r="X9" s="40">
        <f>IFERROR(__xludf.DUMMYFUNCTION("FILTER(
  Movies!F9:F1000,
  DATEVALUE(Movies!B9:B1000) = W9
)
"),8.066666666666668)</f>
        <v>8.066666667</v>
      </c>
      <c r="Y9" s="5"/>
      <c r="Z9" s="5"/>
      <c r="AA9" s="5"/>
      <c r="AB9" s="5"/>
    </row>
    <row r="10">
      <c r="B10" s="11" t="str">
        <f>Movies!C10</f>
        <v>Action, Adventure, Sci-Fi</v>
      </c>
      <c r="C10" s="11" t="str">
        <f>IFERROR(__xludf.DUMMYFUNCTION("ARRAYFORMULA(TRIM(SPLIT(B10, "","")))
"),"Action")</f>
        <v>Action</v>
      </c>
      <c r="D10" s="11" t="str">
        <f>IFERROR(__xludf.DUMMYFUNCTION("""COMPUTED_VALUE"""),"Adventure")</f>
        <v>Adventure</v>
      </c>
      <c r="E10" s="11" t="str">
        <f>IFERROR(__xludf.DUMMYFUNCTION("""COMPUTED_VALUE"""),"Sci-Fi")</f>
        <v>Sci-Fi</v>
      </c>
      <c r="G10" s="11"/>
      <c r="H10" s="11">
        <f t="shared" si="1"/>
        <v>0</v>
      </c>
      <c r="J10" s="19">
        <v>0.9</v>
      </c>
      <c r="K10" s="11">
        <f>COUNTIFS(Movies[Final Score], "&lt;" &amp; J10, Movies[Final Score], "&gt;=" &amp; J9)
</f>
        <v>0</v>
      </c>
      <c r="L10" s="27">
        <v>9.0</v>
      </c>
      <c r="M10" s="11">
        <f>COUNTIFS(Movies[Final Score], "&lt;" &amp; L11, Movies[Final Score], "&gt;=" &amp; L10)
</f>
        <v>28</v>
      </c>
      <c r="O10" s="48" t="str">
        <f>IFERROR(__xludf.DUMMYFUNCTION("""COMPUTED_VALUE"""),"Whiplash")</f>
        <v>Whiplash</v>
      </c>
      <c r="P10" s="49">
        <f>IFERROR(__xludf.DUMMYFUNCTION("""COMPUTED_VALUE"""),9.433333333333332)</f>
        <v>9.433333333</v>
      </c>
      <c r="S10" s="31">
        <f>IFERROR(__xludf.DUMMYFUNCTION("""COMPUTED_VALUE"""),45646.0)</f>
        <v>45646</v>
      </c>
      <c r="T10" s="34">
        <f>COUNTIF(Movies!N:N, S10)</f>
        <v>45</v>
      </c>
      <c r="U10" s="11">
        <f t="shared" si="2"/>
        <v>100</v>
      </c>
      <c r="W10" s="51">
        <f>IFERROR(__xludf.DUMMYFUNCTION("""COMPUTED_VALUE"""),34285.0)</f>
        <v>34285</v>
      </c>
      <c r="X10" s="40">
        <f>IFERROR(__xludf.DUMMYFUNCTION("FILTER(
  Movies!F10:F1000,
  DATEVALUE(Movies!B10:B1000) = W10
)
"),6.816666666666666)</f>
        <v>6.816666667</v>
      </c>
      <c r="Y10" s="5"/>
      <c r="Z10" s="5"/>
      <c r="AA10" s="5"/>
      <c r="AB10" s="5"/>
    </row>
    <row r="11">
      <c r="B11" s="11" t="str">
        <f>Movies!C11</f>
        <v>Action, Adventure, Sci-Fi</v>
      </c>
      <c r="C11" s="11" t="str">
        <f>IFERROR(__xludf.DUMMYFUNCTION("ARRAYFORMULA(TRIM(SPLIT(B11, "","")))
"),"Action")</f>
        <v>Action</v>
      </c>
      <c r="D11" s="11" t="str">
        <f>IFERROR(__xludf.DUMMYFUNCTION("""COMPUTED_VALUE"""),"Adventure")</f>
        <v>Adventure</v>
      </c>
      <c r="E11" s="11" t="str">
        <f>IFERROR(__xludf.DUMMYFUNCTION("""COMPUTED_VALUE"""),"Sci-Fi")</f>
        <v>Sci-Fi</v>
      </c>
      <c r="G11" s="11" t="str">
        <f>IFERROR(__xludf.DUMMYFUNCTION("""COMPUTED_VALUE"""),"Comedy")</f>
        <v>Comedy</v>
      </c>
      <c r="H11" s="11">
        <f t="shared" si="1"/>
        <v>52</v>
      </c>
      <c r="J11" s="19">
        <v>1.0</v>
      </c>
      <c r="K11" s="11">
        <f>COUNTIFS(Movies[Final Score], "&lt;" &amp; J11, Movies[Final Score], "&gt;=" &amp; J10)
</f>
        <v>0</v>
      </c>
      <c r="L11" s="27">
        <v>10.0</v>
      </c>
      <c r="M11" s="11">
        <f>COUNTIFS(Movies[Final Score], "&lt;" &amp; L12, Movies[Final Score], "&gt;=" &amp; L11)
</f>
        <v>0</v>
      </c>
      <c r="O11" s="48" t="str">
        <f>IFERROR(__xludf.DUMMYFUNCTION("""COMPUTED_VALUE"""),"Inception")</f>
        <v>Inception</v>
      </c>
      <c r="P11" s="49">
        <f>IFERROR(__xludf.DUMMYFUNCTION("""COMPUTED_VALUE"""),9.4)</f>
        <v>9.4</v>
      </c>
      <c r="S11" s="31">
        <f>IFERROR(__xludf.DUMMYFUNCTION("""COMPUTED_VALUE"""),45647.0)</f>
        <v>45647</v>
      </c>
      <c r="T11" s="34">
        <f>COUNTIF(Movies!N:N, S11)</f>
        <v>1</v>
      </c>
      <c r="U11" s="11">
        <f t="shared" si="2"/>
        <v>101</v>
      </c>
      <c r="W11" s="51">
        <f>IFERROR(__xludf.DUMMYFUNCTION("""COMPUTED_VALUE"""),34521.0)</f>
        <v>34521</v>
      </c>
      <c r="X11" s="40">
        <f>IFERROR(__xludf.DUMMYFUNCTION("FILTER(
  Movies!F11:F1000,
  DATEVALUE(Movies!B11:B1000) = W11
)
"),8.616666666666667)</f>
        <v>8.616666667</v>
      </c>
      <c r="Y11" s="5"/>
      <c r="Z11" s="5"/>
      <c r="AA11" s="5"/>
      <c r="AB11" s="5"/>
    </row>
    <row r="12">
      <c r="B12" s="11" t="str">
        <f>Movies!C12</f>
        <v>Adventure, Drama, Sci-Fi</v>
      </c>
      <c r="C12" s="11" t="str">
        <f>IFERROR(__xludf.DUMMYFUNCTION("ARRAYFORMULA(TRIM(SPLIT(B12, "","")))
"),"Adventure")</f>
        <v>Adventure</v>
      </c>
      <c r="D12" s="11" t="str">
        <f>IFERROR(__xludf.DUMMYFUNCTION("""COMPUTED_VALUE"""),"Drama")</f>
        <v>Drama</v>
      </c>
      <c r="E12" s="11" t="str">
        <f>IFERROR(__xludf.DUMMYFUNCTION("""COMPUTED_VALUE"""),"Sci-Fi")</f>
        <v>Sci-Fi</v>
      </c>
      <c r="G12" s="11" t="str">
        <f>IFERROR(__xludf.DUMMYFUNCTION("""COMPUTED_VALUE"""),"Western")</f>
        <v>Western</v>
      </c>
      <c r="H12" s="11">
        <f t="shared" si="1"/>
        <v>1</v>
      </c>
      <c r="J12" s="19">
        <v>1.1</v>
      </c>
      <c r="K12" s="11">
        <f>COUNTIFS(Movies[Final Score], "&lt;" &amp; J12, Movies[Final Score], "&gt;=" &amp; J11)
</f>
        <v>0</v>
      </c>
      <c r="O12" s="48" t="str">
        <f>IFERROR(__xludf.DUMMYFUNCTION("""COMPUTED_VALUE"""),"Edge Of Tomorrow")</f>
        <v>Edge Of Tomorrow</v>
      </c>
      <c r="P12" s="49">
        <f>IFERROR(__xludf.DUMMYFUNCTION("""COMPUTED_VALUE"""),9.35)</f>
        <v>9.35</v>
      </c>
      <c r="S12" s="31">
        <f>IFERROR(__xludf.DUMMYFUNCTION("""COMPUTED_VALUE"""),45649.0)</f>
        <v>45649</v>
      </c>
      <c r="T12" s="34">
        <f>COUNTIF(Movies!N:N, S12)</f>
        <v>2</v>
      </c>
      <c r="U12" s="11">
        <f t="shared" si="2"/>
        <v>103</v>
      </c>
      <c r="W12" s="51">
        <f>IFERROR(__xludf.DUMMYFUNCTION("""COMPUTED_VALUE"""),34621.0)</f>
        <v>34621</v>
      </c>
      <c r="X12" s="40">
        <f>IFERROR(__xludf.DUMMYFUNCTION("FILTER(
  Movies!F12:F1000,
  DATEVALUE(Movies!B12:B1000) = W12
)
"),6.283333333333334)</f>
        <v>6.283333333</v>
      </c>
      <c r="Y12" s="5"/>
      <c r="Z12" s="5"/>
      <c r="AA12" s="5"/>
      <c r="AB12" s="5"/>
    </row>
    <row r="13">
      <c r="B13" s="11" t="str">
        <f>Movies!C13</f>
        <v>Action, Adventure, Drama</v>
      </c>
      <c r="C13" s="11" t="str">
        <f>IFERROR(__xludf.DUMMYFUNCTION("ARRAYFORMULA(TRIM(SPLIT(B13, "","")))
"),"Action")</f>
        <v>Action</v>
      </c>
      <c r="D13" s="11" t="str">
        <f>IFERROR(__xludf.DUMMYFUNCTION("""COMPUTED_VALUE"""),"Adventure")</f>
        <v>Adventure</v>
      </c>
      <c r="E13" s="11" t="str">
        <f>IFERROR(__xludf.DUMMYFUNCTION("""COMPUTED_VALUE"""),"Drama")</f>
        <v>Drama</v>
      </c>
      <c r="G13" s="11" t="str">
        <f>IFERROR(__xludf.DUMMYFUNCTION("""COMPUTED_VALUE"""),"Fantasy")</f>
        <v>Fantasy</v>
      </c>
      <c r="H13" s="11">
        <f t="shared" si="1"/>
        <v>38</v>
      </c>
      <c r="J13" s="19">
        <v>1.2</v>
      </c>
      <c r="K13" s="11">
        <f>COUNTIFS(Movies[Final Score], "&lt;" &amp; J13, Movies[Final Score], "&gt;=" &amp; J12)
</f>
        <v>0</v>
      </c>
      <c r="S13" s="31">
        <f>IFERROR(__xludf.DUMMYFUNCTION("""COMPUTED_VALUE"""),45655.0)</f>
        <v>45655</v>
      </c>
      <c r="T13" s="34">
        <f>COUNTIF(Movies!N:N, S13)</f>
        <v>2</v>
      </c>
      <c r="U13" s="11">
        <f t="shared" si="2"/>
        <v>105</v>
      </c>
      <c r="W13" s="51">
        <f>IFERROR(__xludf.DUMMYFUNCTION("""COMPUTED_VALUE"""),34726.0)</f>
        <v>34726</v>
      </c>
      <c r="X13" s="40">
        <f>IFERROR(__xludf.DUMMYFUNCTION("FILTER(
  Movies!F13:F1000,
  DATEVALUE(Movies!B13:B1000) = W13
)
"),7.683333333333334)</f>
        <v>7.683333333</v>
      </c>
      <c r="Y13" s="5"/>
      <c r="Z13" s="5"/>
      <c r="AA13" s="5"/>
      <c r="AB13" s="5"/>
    </row>
    <row r="14">
      <c r="B14" s="11" t="str">
        <f>Movies!C14</f>
        <v>Comedy, Drama, Music</v>
      </c>
      <c r="C14" s="11" t="str">
        <f>IFERROR(__xludf.DUMMYFUNCTION("ARRAYFORMULA(TRIM(SPLIT(B14, "","")))
"),"Comedy")</f>
        <v>Comedy</v>
      </c>
      <c r="D14" s="11" t="str">
        <f>IFERROR(__xludf.DUMMYFUNCTION("""COMPUTED_VALUE"""),"Drama")</f>
        <v>Drama</v>
      </c>
      <c r="E14" s="11" t="str">
        <f>IFERROR(__xludf.DUMMYFUNCTION("""COMPUTED_VALUE"""),"Music")</f>
        <v>Music</v>
      </c>
      <c r="G14" s="11" t="str">
        <f>IFERROR(__xludf.DUMMYFUNCTION("""COMPUTED_VALUE"""),"Animation")</f>
        <v>Animation</v>
      </c>
      <c r="H14" s="11">
        <f t="shared" si="1"/>
        <v>18</v>
      </c>
      <c r="J14" s="19">
        <v>1.3</v>
      </c>
      <c r="K14" s="11">
        <f>COUNTIFS(Movies[Final Score], "&lt;" &amp; J14, Movies[Final Score], "&gt;=" &amp; J13)
</f>
        <v>0</v>
      </c>
      <c r="S14" s="31">
        <f>IFERROR(__xludf.DUMMYFUNCTION("""COMPUTED_VALUE"""),45661.0)</f>
        <v>45661</v>
      </c>
      <c r="T14" s="34">
        <f>COUNTIF(Movies!N:N, S14)</f>
        <v>1</v>
      </c>
      <c r="U14" s="11">
        <f t="shared" si="2"/>
        <v>106</v>
      </c>
      <c r="W14" s="51">
        <f>IFERROR(__xludf.DUMMYFUNCTION("""COMPUTED_VALUE"""),34964.0)</f>
        <v>34964</v>
      </c>
      <c r="X14" s="5" t="str">
        <f>IFERROR(__xludf.DUMMYFUNCTION("FILTER(
  Movies!F14:F1000,
  DATEVALUE(Movies!B14:B1000) = W14
)
"),"#N/A")</f>
        <v>#N/A</v>
      </c>
      <c r="Y14" s="5"/>
      <c r="Z14" s="5"/>
      <c r="AA14" s="5"/>
      <c r="AB14" s="5"/>
    </row>
    <row r="15">
      <c r="B15" s="11" t="str">
        <f>Movies!C15</f>
        <v>Action, Drama, Western</v>
      </c>
      <c r="C15" s="11" t="str">
        <f>IFERROR(__xludf.DUMMYFUNCTION("ARRAYFORMULA(TRIM(SPLIT(B15, "","")))
"),"Action")</f>
        <v>Action</v>
      </c>
      <c r="D15" s="11" t="str">
        <f>IFERROR(__xludf.DUMMYFUNCTION("""COMPUTED_VALUE"""),"Drama")</f>
        <v>Drama</v>
      </c>
      <c r="E15" s="11" t="str">
        <f>IFERROR(__xludf.DUMMYFUNCTION("""COMPUTED_VALUE"""),"Western")</f>
        <v>Western</v>
      </c>
      <c r="G15" s="11" t="str">
        <f>IFERROR(__xludf.DUMMYFUNCTION("""COMPUTED_VALUE"""),"Thriller")</f>
        <v>Thriller</v>
      </c>
      <c r="H15" s="11">
        <f t="shared" si="1"/>
        <v>48</v>
      </c>
      <c r="J15" s="19">
        <v>1.4</v>
      </c>
      <c r="K15" s="11">
        <f>COUNTIFS(Movies[Final Score], "&lt;" &amp; J15, Movies[Final Score], "&gt;=" &amp; J14)
</f>
        <v>0</v>
      </c>
      <c r="S15" s="31">
        <f>IFERROR(__xludf.DUMMYFUNCTION("""COMPUTED_VALUE"""),45670.0)</f>
        <v>45670</v>
      </c>
      <c r="T15" s="34">
        <f>COUNTIF(Movies!N:N, S15)</f>
        <v>5</v>
      </c>
      <c r="U15" s="11">
        <f t="shared" si="2"/>
        <v>111</v>
      </c>
      <c r="W15" s="51">
        <f>IFERROR(__xludf.DUMMYFUNCTION("""COMPUTED_VALUE"""),35720.0)</f>
        <v>35720</v>
      </c>
      <c r="X15" s="40">
        <f>IFERROR(__xludf.DUMMYFUNCTION("FILTER(
  Movies!F15:F1000,
  DATEVALUE(Movies!B15:B1000) = W15
)
"),7.099999999999999)</f>
        <v>7.1</v>
      </c>
      <c r="Y15" s="5"/>
      <c r="Z15" s="5"/>
      <c r="AA15" s="5"/>
      <c r="AB15" s="5"/>
    </row>
    <row r="16">
      <c r="B16" s="11" t="str">
        <f>Movies!C16</f>
        <v>Action, Crime, Drama</v>
      </c>
      <c r="C16" s="11" t="str">
        <f>IFERROR(__xludf.DUMMYFUNCTION("ARRAYFORMULA(TRIM(SPLIT(B16, "","")))
"),"Action")</f>
        <v>Action</v>
      </c>
      <c r="D16" s="11" t="str">
        <f>IFERROR(__xludf.DUMMYFUNCTION("""COMPUTED_VALUE"""),"Crime")</f>
        <v>Crime</v>
      </c>
      <c r="E16" s="11" t="str">
        <f>IFERROR(__xludf.DUMMYFUNCTION("""COMPUTED_VALUE"""),"Drama")</f>
        <v>Drama</v>
      </c>
      <c r="G16" s="11" t="str">
        <f>IFERROR(__xludf.DUMMYFUNCTION("""COMPUTED_VALUE"""),"Biography")</f>
        <v>Biography</v>
      </c>
      <c r="J16" s="19">
        <v>1.5</v>
      </c>
      <c r="K16" s="11">
        <f>COUNTIFS(Movies[Final Score], "&lt;" &amp; J16, Movies[Final Score], "&gt;=" &amp; J15)
</f>
        <v>0</v>
      </c>
      <c r="S16" s="31">
        <f>IFERROR(__xludf.DUMMYFUNCTION("""COMPUTED_VALUE"""),45676.0)</f>
        <v>45676</v>
      </c>
      <c r="T16" s="34">
        <f>COUNTIF(Movies!N:N, S16)</f>
        <v>3</v>
      </c>
      <c r="U16" s="11">
        <f t="shared" si="2"/>
        <v>114</v>
      </c>
      <c r="W16" s="51">
        <f>IFERROR(__xludf.DUMMYFUNCTION("""COMPUTED_VALUE"""),35804.0)</f>
        <v>35804</v>
      </c>
      <c r="X16" s="40">
        <f>IFERROR(__xludf.DUMMYFUNCTION("FILTER(
  Movies!F16:F1000,
  DATEVALUE(Movies!B16:B1000) = W16
)
"),8.833333333333334)</f>
        <v>8.833333333</v>
      </c>
      <c r="Y16" s="5"/>
      <c r="Z16" s="5"/>
      <c r="AA16" s="5"/>
      <c r="AB16" s="5"/>
    </row>
    <row r="17">
      <c r="B17" s="11" t="str">
        <f>Movies!C17</f>
        <v>Adventure, Drama, Fantasy</v>
      </c>
      <c r="C17" s="11" t="str">
        <f>IFERROR(__xludf.DUMMYFUNCTION("ARRAYFORMULA(TRIM(SPLIT(B17, "","")))
"),"Adventure")</f>
        <v>Adventure</v>
      </c>
      <c r="D17" s="11" t="str">
        <f>IFERROR(__xludf.DUMMYFUNCTION("""COMPUTED_VALUE"""),"Drama")</f>
        <v>Drama</v>
      </c>
      <c r="E17" s="11" t="str">
        <f>IFERROR(__xludf.DUMMYFUNCTION("""COMPUTED_VALUE"""),"Fantasy")</f>
        <v>Fantasy</v>
      </c>
      <c r="G17" s="11" t="str">
        <f>IFERROR(__xludf.DUMMYFUNCTION("""COMPUTED_VALUE"""),"History")</f>
        <v>History</v>
      </c>
      <c r="H17" s="11">
        <f t="shared" ref="H17:H20" si="3">COUNTIF(C17:E1000, G17)</f>
        <v>6</v>
      </c>
      <c r="J17" s="19">
        <v>1.6</v>
      </c>
      <c r="K17" s="11">
        <f>COUNTIFS(Movies[Final Score], "&lt;" &amp; J17, Movies[Final Score], "&gt;=" &amp; J16)
</f>
        <v>1</v>
      </c>
      <c r="S17" s="31">
        <f>IFERROR(__xludf.DUMMYFUNCTION("""COMPUTED_VALUE"""),45682.0)</f>
        <v>45682</v>
      </c>
      <c r="T17" s="34">
        <f>COUNTIF(Movies!N:N, S17)</f>
        <v>1</v>
      </c>
      <c r="U17" s="11">
        <f t="shared" si="2"/>
        <v>115</v>
      </c>
      <c r="W17" s="51">
        <f>IFERROR(__xludf.DUMMYFUNCTION("""COMPUTED_VALUE"""),35923.0)</f>
        <v>35923</v>
      </c>
      <c r="X17" s="40">
        <f>IFERROR(__xludf.DUMMYFUNCTION("FILTER(
  Movies!F17:F1000,
  DATEVALUE(Movies!B17:B1000) = W17
)
"),8.15)</f>
        <v>8.15</v>
      </c>
      <c r="Y17" s="5"/>
      <c r="Z17" s="5"/>
      <c r="AA17" s="5"/>
      <c r="AB17" s="5"/>
    </row>
    <row r="18">
      <c r="B18" s="11" t="str">
        <f>Movies!C18</f>
        <v>Action, Adventure, Sci-Fi</v>
      </c>
      <c r="C18" s="11" t="str">
        <f>IFERROR(__xludf.DUMMYFUNCTION("ARRAYFORMULA(TRIM(SPLIT(B18, "","")))
"),"Action")</f>
        <v>Action</v>
      </c>
      <c r="D18" s="11" t="str">
        <f>IFERROR(__xludf.DUMMYFUNCTION("""COMPUTED_VALUE"""),"Adventure")</f>
        <v>Adventure</v>
      </c>
      <c r="E18" s="11" t="str">
        <f>IFERROR(__xludf.DUMMYFUNCTION("""COMPUTED_VALUE"""),"Sci-Fi")</f>
        <v>Sci-Fi</v>
      </c>
      <c r="G18" s="11" t="str">
        <f>IFERROR(__xludf.DUMMYFUNCTION("""COMPUTED_VALUE"""),"Horror")</f>
        <v>Horror</v>
      </c>
      <c r="H18" s="11">
        <f t="shared" si="3"/>
        <v>23</v>
      </c>
      <c r="J18" s="19">
        <v>1.7</v>
      </c>
      <c r="K18" s="11">
        <f>COUNTIFS(Movies[Final Score], "&lt;" &amp; J18, Movies[Final Score], "&gt;=" &amp; J17)
</f>
        <v>0</v>
      </c>
      <c r="S18" s="31">
        <f>IFERROR(__xludf.DUMMYFUNCTION("""COMPUTED_VALUE"""),45689.0)</f>
        <v>45689</v>
      </c>
      <c r="T18" s="34">
        <f>COUNTIF(Movies!N:N, S18)</f>
        <v>1</v>
      </c>
      <c r="U18" s="11">
        <f t="shared" si="2"/>
        <v>116</v>
      </c>
      <c r="W18" s="51">
        <f>IFERROR(__xludf.DUMMYFUNCTION("""COMPUTED_VALUE"""),36000.0)</f>
        <v>36000</v>
      </c>
      <c r="X18" s="40">
        <f>IFERROR(__xludf.DUMMYFUNCTION("FILTER(
  Movies!F18:F1000,
  DATEVALUE(Movies!B18:B1000) = W18
)
"),8.85)</f>
        <v>8.85</v>
      </c>
      <c r="Y18" s="5"/>
      <c r="Z18" s="5"/>
      <c r="AA18" s="5"/>
      <c r="AB18" s="5"/>
    </row>
    <row r="19">
      <c r="B19" s="11" t="str">
        <f>Movies!C19</f>
        <v>Animation, Action, Adventure</v>
      </c>
      <c r="C19" s="11" t="str">
        <f>IFERROR(__xludf.DUMMYFUNCTION("ARRAYFORMULA(TRIM(SPLIT(B19, "","")))
"),"Animation")</f>
        <v>Animation</v>
      </c>
      <c r="D19" s="11" t="str">
        <f>IFERROR(__xludf.DUMMYFUNCTION("""COMPUTED_VALUE"""),"Action")</f>
        <v>Action</v>
      </c>
      <c r="E19" s="11" t="str">
        <f>IFERROR(__xludf.DUMMYFUNCTION("""COMPUTED_VALUE"""),"Adventure")</f>
        <v>Adventure</v>
      </c>
      <c r="G19" s="11" t="str">
        <f>IFERROR(__xludf.DUMMYFUNCTION("""COMPUTED_VALUE"""),"Romance")</f>
        <v>Romance</v>
      </c>
      <c r="H19" s="11">
        <f t="shared" si="3"/>
        <v>14</v>
      </c>
      <c r="J19" s="19">
        <v>1.8</v>
      </c>
      <c r="K19" s="11">
        <f>COUNTIFS(Movies[Final Score], "&lt;" &amp; J19, Movies[Final Score], "&gt;=" &amp; J18)
</f>
        <v>0</v>
      </c>
      <c r="S19" s="31">
        <f>IFERROR(__xludf.DUMMYFUNCTION("""COMPUTED_VALUE"""),45707.0)</f>
        <v>45707</v>
      </c>
      <c r="T19" s="34">
        <f>COUNTIF(Movies!N:N, S19)</f>
        <v>1</v>
      </c>
      <c r="U19" s="11">
        <f t="shared" si="2"/>
        <v>117</v>
      </c>
      <c r="W19" s="51">
        <f>IFERROR(__xludf.DUMMYFUNCTION("""COMPUTED_VALUE"""),36175.0)</f>
        <v>36175</v>
      </c>
      <c r="X19" s="40">
        <f>IFERROR(__xludf.DUMMYFUNCTION("FILTER(
  Movies!F19:F1000,
  DATEVALUE(Movies!B19:B1000) = W19
)
"),8.683333333333332)</f>
        <v>8.683333333</v>
      </c>
      <c r="Y19" s="5"/>
      <c r="Z19" s="5"/>
      <c r="AA19" s="5"/>
      <c r="AB19" s="5"/>
    </row>
    <row r="20">
      <c r="B20" s="11" t="str">
        <f>Movies!C20</f>
        <v>Crime, Drama, Thriller</v>
      </c>
      <c r="C20" s="11" t="str">
        <f>IFERROR(__xludf.DUMMYFUNCTION("ARRAYFORMULA(TRIM(SPLIT(B20, "","")))
"),"Crime")</f>
        <v>Crime</v>
      </c>
      <c r="D20" s="11" t="str">
        <f>IFERROR(__xludf.DUMMYFUNCTION("""COMPUTED_VALUE"""),"Drama")</f>
        <v>Drama</v>
      </c>
      <c r="E20" s="11" t="str">
        <f>IFERROR(__xludf.DUMMYFUNCTION("""COMPUTED_VALUE"""),"Thriller")</f>
        <v>Thriller</v>
      </c>
      <c r="G20" s="11" t="str">
        <f>IFERROR(__xludf.DUMMYFUNCTION("""COMPUTED_VALUE"""),"Sport")</f>
        <v>Sport</v>
      </c>
      <c r="H20" s="11">
        <f t="shared" si="3"/>
        <v>3</v>
      </c>
      <c r="J20" s="19">
        <v>1.9</v>
      </c>
      <c r="K20" s="11">
        <f>COUNTIFS(Movies[Final Score], "&lt;" &amp; J20, Movies[Final Score], "&gt;=" &amp; J19)
</f>
        <v>0</v>
      </c>
      <c r="S20" s="31">
        <f>IFERROR(__xludf.DUMMYFUNCTION("""COMPUTED_VALUE"""),45712.0)</f>
        <v>45712</v>
      </c>
      <c r="T20" s="34">
        <f>COUNTIF(Movies!N:N, S20)</f>
        <v>1</v>
      </c>
      <c r="U20" s="11">
        <f t="shared" si="2"/>
        <v>118</v>
      </c>
      <c r="W20" s="51">
        <f>IFERROR(__xludf.DUMMYFUNCTION("""COMPUTED_VALUE"""),36250.0)</f>
        <v>36250</v>
      </c>
      <c r="X20" s="40">
        <f>IFERROR(__xludf.DUMMYFUNCTION("FILTER(
  Movies!F20:F1000,
  DATEVALUE(Movies!B20:B1000) = W20
)
"),8.216666666666667)</f>
        <v>8.216666667</v>
      </c>
      <c r="Y20" s="5"/>
      <c r="Z20" s="5"/>
      <c r="AA20" s="5"/>
      <c r="AB20" s="5"/>
    </row>
    <row r="21">
      <c r="B21" s="11" t="str">
        <f>Movies!C21</f>
        <v>Action, Adventure, Fantasy</v>
      </c>
      <c r="C21" s="11" t="str">
        <f>IFERROR(__xludf.DUMMYFUNCTION("ARRAYFORMULA(TRIM(SPLIT(B21, "","")))
"),"Action")</f>
        <v>Action</v>
      </c>
      <c r="D21" s="11" t="str">
        <f>IFERROR(__xludf.DUMMYFUNCTION("""COMPUTED_VALUE"""),"Adventure")</f>
        <v>Adventure</v>
      </c>
      <c r="E21" s="11" t="str">
        <f>IFERROR(__xludf.DUMMYFUNCTION("""COMPUTED_VALUE"""),"Fantasy")</f>
        <v>Fantasy</v>
      </c>
      <c r="G21" s="11" t="str">
        <f>IFERROR(__xludf.DUMMYFUNCTION("""COMPUTED_VALUE"""),"Family")</f>
        <v>Family</v>
      </c>
      <c r="J21" s="19">
        <v>2.0</v>
      </c>
      <c r="K21" s="11">
        <f>COUNTIFS(Movies[Final Score], "&lt;" &amp; J21, Movies[Final Score], "&gt;=" &amp; J20)
</f>
        <v>0</v>
      </c>
      <c r="S21" s="31">
        <f>IFERROR(__xludf.DUMMYFUNCTION("""COMPUTED_VALUE"""),45717.0)</f>
        <v>45717</v>
      </c>
      <c r="T21" s="34">
        <f>COUNTIF(Movies!N:N, S21)</f>
        <v>1</v>
      </c>
      <c r="U21" s="11">
        <f t="shared" si="2"/>
        <v>119</v>
      </c>
      <c r="W21" s="51">
        <f>IFERROR(__xludf.DUMMYFUNCTION("""COMPUTED_VALUE"""),36287.0)</f>
        <v>36287</v>
      </c>
      <c r="X21" s="40">
        <f>IFERROR(__xludf.DUMMYFUNCTION("FILTER(
  Movies!F21:F1000,
  DATEVALUE(Movies!B21:B1000) = W21
)
"),5.916666666666667)</f>
        <v>5.916666667</v>
      </c>
      <c r="Y21" s="5"/>
      <c r="Z21" s="5"/>
      <c r="AA21" s="5"/>
      <c r="AB21" s="5"/>
    </row>
    <row r="22">
      <c r="B22" s="11" t="str">
        <f>Movies!C22</f>
        <v>Adventure, Comedy, Drama</v>
      </c>
      <c r="C22" s="11" t="str">
        <f>IFERROR(__xludf.DUMMYFUNCTION("ARRAYFORMULA(TRIM(SPLIT(B22, "","")))
"),"Adventure")</f>
        <v>Adventure</v>
      </c>
      <c r="D22" s="11" t="str">
        <f>IFERROR(__xludf.DUMMYFUNCTION("""COMPUTED_VALUE"""),"Comedy")</f>
        <v>Comedy</v>
      </c>
      <c r="E22" s="11" t="str">
        <f>IFERROR(__xludf.DUMMYFUNCTION("""COMPUTED_VALUE"""),"Drama")</f>
        <v>Drama</v>
      </c>
      <c r="G22" s="11" t="str">
        <f>IFERROR(__xludf.DUMMYFUNCTION("""COMPUTED_VALUE"""),"Musical")</f>
        <v>Musical</v>
      </c>
      <c r="J22" s="19">
        <v>2.1</v>
      </c>
      <c r="K22" s="11">
        <f>COUNTIFS(Movies[Final Score], "&lt;" &amp; J22, Movies[Final Score], "&gt;=" &amp; J21)
</f>
        <v>0</v>
      </c>
      <c r="S22" s="31">
        <f>IFERROR(__xludf.DUMMYFUNCTION("""COMPUTED_VALUE"""),45726.0)</f>
        <v>45726</v>
      </c>
      <c r="T22" s="34">
        <f>COUNTIF(Movies!N:N, S22)</f>
        <v>1</v>
      </c>
      <c r="U22" s="11">
        <f t="shared" si="2"/>
        <v>120</v>
      </c>
      <c r="W22" s="51">
        <f>IFERROR(__xludf.DUMMYFUNCTION("""COMPUTED_VALUE"""),36572.0)</f>
        <v>36572</v>
      </c>
      <c r="X22" s="40">
        <f>IFERROR(__xludf.DUMMYFUNCTION("FILTER(
  Movies!F22:F1000,
  DATEVALUE(Movies!B22:B1000) = W22
)
"),6.733333333333333)</f>
        <v>6.733333333</v>
      </c>
      <c r="Y22" s="5"/>
      <c r="Z22" s="5"/>
      <c r="AA22" s="5"/>
      <c r="AB22" s="5"/>
    </row>
    <row r="23">
      <c r="B23" s="11" t="str">
        <f>Movies!C23</f>
        <v>Biography, Drama, History</v>
      </c>
      <c r="C23" s="11" t="str">
        <f>IFERROR(__xludf.DUMMYFUNCTION("ARRAYFORMULA(TRIM(SPLIT(B23, "","")))
"),"Biography")</f>
        <v>Biography</v>
      </c>
      <c r="D23" s="11" t="str">
        <f>IFERROR(__xludf.DUMMYFUNCTION("""COMPUTED_VALUE"""),"Drama")</f>
        <v>Drama</v>
      </c>
      <c r="E23" s="11" t="str">
        <f>IFERROR(__xludf.DUMMYFUNCTION("""COMPUTED_VALUE"""),"History")</f>
        <v>History</v>
      </c>
      <c r="G23" s="11" t="str">
        <f>IFERROR(__xludf.DUMMYFUNCTION("""COMPUTED_VALUE"""),"Documentary")</f>
        <v>Documentary</v>
      </c>
      <c r="J23" s="19">
        <v>2.2</v>
      </c>
      <c r="K23" s="11">
        <f>COUNTIFS(Movies[Final Score], "&lt;" &amp; J23, Movies[Final Score], "&gt;=" &amp; J22)
</f>
        <v>0</v>
      </c>
      <c r="S23" s="31">
        <f>IFERROR(__xludf.DUMMYFUNCTION("""COMPUTED_VALUE"""),45729.0)</f>
        <v>45729</v>
      </c>
      <c r="T23" s="34">
        <f>COUNTIF(Movies!N:N, S23)</f>
        <v>1</v>
      </c>
      <c r="U23" s="11">
        <f t="shared" si="2"/>
        <v>121</v>
      </c>
      <c r="W23" s="51">
        <f>IFERROR(__xludf.DUMMYFUNCTION("""COMPUTED_VALUE"""),36602.0)</f>
        <v>36602</v>
      </c>
      <c r="X23" s="40">
        <f>IFERROR(__xludf.DUMMYFUNCTION("FILTER(
  Movies!F23:F1000,
  DATEVALUE(Movies!B23:B1000) = W23
)
"),6.333333333333332)</f>
        <v>6.333333333</v>
      </c>
      <c r="Y23" s="5"/>
      <c r="Z23" s="5"/>
      <c r="AA23" s="5"/>
      <c r="AB23" s="5"/>
    </row>
    <row r="24">
      <c r="B24" s="11" t="str">
        <f>Movies!C24</f>
        <v>Action, Adventure, Sci-Fi</v>
      </c>
      <c r="C24" s="11" t="str">
        <f>IFERROR(__xludf.DUMMYFUNCTION("ARRAYFORMULA(TRIM(SPLIT(B24, "","")))
"),"Action")</f>
        <v>Action</v>
      </c>
      <c r="D24" s="11" t="str">
        <f>IFERROR(__xludf.DUMMYFUNCTION("""COMPUTED_VALUE"""),"Adventure")</f>
        <v>Adventure</v>
      </c>
      <c r="E24" s="11" t="str">
        <f>IFERROR(__xludf.DUMMYFUNCTION("""COMPUTED_VALUE"""),"Sci-Fi")</f>
        <v>Sci-Fi</v>
      </c>
      <c r="G24" s="11" t="str">
        <f>IFERROR(__xludf.DUMMYFUNCTION("""COMPUTED_VALUE"""),"")</f>
        <v/>
      </c>
      <c r="J24" s="19">
        <v>2.3</v>
      </c>
      <c r="K24" s="11">
        <f>COUNTIFS(Movies[Final Score], "&lt;" &amp; J24, Movies[Final Score], "&gt;=" &amp; J23)
</f>
        <v>0</v>
      </c>
      <c r="S24" s="31">
        <f>IFERROR(__xludf.DUMMYFUNCTION("""COMPUTED_VALUE"""),45747.0)</f>
        <v>45747</v>
      </c>
      <c r="T24" s="34">
        <f>COUNTIF(Movies!N:N, S24)</f>
        <v>1</v>
      </c>
      <c r="U24" s="11">
        <f t="shared" si="2"/>
        <v>122</v>
      </c>
      <c r="W24" s="51">
        <f>IFERROR(__xludf.DUMMYFUNCTION("""COMPUTED_VALUE"""),36651.0)</f>
        <v>36651</v>
      </c>
      <c r="X24" s="5" t="str">
        <f>IFERROR(__xludf.DUMMYFUNCTION("FILTER(
  Movies!F24:F1000,
  DATEVALUE(Movies!B24:B1000) = W24
)
"),"#N/A")</f>
        <v>#N/A</v>
      </c>
      <c r="Y24" s="5"/>
      <c r="Z24" s="5"/>
      <c r="AA24" s="5"/>
      <c r="AB24" s="5"/>
    </row>
    <row r="25">
      <c r="B25" s="11" t="str">
        <f>Movies!C25</f>
        <v>Adventure, Drama, Fantasy</v>
      </c>
      <c r="C25" s="11" t="str">
        <f>IFERROR(__xludf.DUMMYFUNCTION("ARRAYFORMULA(TRIM(SPLIT(B25, "","")))
"),"Adventure")</f>
        <v>Adventure</v>
      </c>
      <c r="D25" s="11" t="str">
        <f>IFERROR(__xludf.DUMMYFUNCTION("""COMPUTED_VALUE"""),"Drama")</f>
        <v>Drama</v>
      </c>
      <c r="E25" s="11" t="str">
        <f>IFERROR(__xludf.DUMMYFUNCTION("""COMPUTED_VALUE"""),"Fantasy")</f>
        <v>Fantasy</v>
      </c>
      <c r="G25" s="11" t="str">
        <f>IFERROR(__xludf.DUMMYFUNCTION("""COMPUTED_VALUE"""),"#VALUE!")</f>
        <v>#VALUE!</v>
      </c>
      <c r="J25" s="19">
        <v>2.4</v>
      </c>
      <c r="K25" s="11">
        <f>COUNTIFS(Movies[Final Score], "&lt;" &amp; J25, Movies[Final Score], "&gt;=" &amp; J24)
</f>
        <v>0</v>
      </c>
      <c r="S25" s="31">
        <f>IFERROR(__xludf.DUMMYFUNCTION("""COMPUTED_VALUE"""),45751.0)</f>
        <v>45751</v>
      </c>
      <c r="T25" s="34">
        <f>COUNTIF(Movies!N:N, S25)</f>
        <v>1</v>
      </c>
      <c r="U25" s="11">
        <f t="shared" si="2"/>
        <v>123</v>
      </c>
      <c r="W25" s="51">
        <f>IFERROR(__xludf.DUMMYFUNCTION("""COMPUTED_VALUE"""),36749.0)</f>
        <v>36749</v>
      </c>
      <c r="X25" s="40">
        <f>IFERROR(__xludf.DUMMYFUNCTION("FILTER(
  Movies!F25:F1000,
  DATEVALUE(Movies!B25:B1000) = W25
)
"),5.3999999999999995)</f>
        <v>5.4</v>
      </c>
      <c r="Y25" s="5"/>
      <c r="Z25" s="5"/>
      <c r="AA25" s="5"/>
      <c r="AB25" s="5"/>
    </row>
    <row r="26">
      <c r="B26" s="11" t="str">
        <f>Movies!C26</f>
        <v>Action, Drama, Horror</v>
      </c>
      <c r="C26" s="11" t="str">
        <f>IFERROR(__xludf.DUMMYFUNCTION("ARRAYFORMULA(TRIM(SPLIT(B26, "","")))
"),"Action")</f>
        <v>Action</v>
      </c>
      <c r="D26" s="11" t="str">
        <f>IFERROR(__xludf.DUMMYFUNCTION("""COMPUTED_VALUE"""),"Drama")</f>
        <v>Drama</v>
      </c>
      <c r="E26" s="11" t="str">
        <f>IFERROR(__xludf.DUMMYFUNCTION("""COMPUTED_VALUE"""),"Horror")</f>
        <v>Horror</v>
      </c>
      <c r="J26" s="19">
        <v>2.5</v>
      </c>
      <c r="K26" s="11">
        <f>COUNTIFS(Movies[Final Score], "&lt;" &amp; J26, Movies[Final Score], "&gt;=" &amp; J25)
</f>
        <v>0</v>
      </c>
      <c r="S26" s="31">
        <f>IFERROR(__xludf.DUMMYFUNCTION("""COMPUTED_VALUE"""),45765.0)</f>
        <v>45765</v>
      </c>
      <c r="T26" s="34">
        <f>COUNTIF(Movies!N:N, S26)</f>
        <v>1</v>
      </c>
      <c r="U26" s="11">
        <f t="shared" si="2"/>
        <v>124</v>
      </c>
      <c r="W26" s="51">
        <f>IFERROR(__xludf.DUMMYFUNCTION("""COMPUTED_VALUE"""),37036.0)</f>
        <v>37036</v>
      </c>
      <c r="X26" s="40">
        <f>IFERROR(__xludf.DUMMYFUNCTION("FILTER(
  Movies!F26:F1000,
  DATEVALUE(Movies!B26:B1000) = W26
)
"),7.833333333333333)</f>
        <v>7.833333333</v>
      </c>
      <c r="Y26" s="5"/>
      <c r="Z26" s="5"/>
      <c r="AA26" s="5"/>
      <c r="AB26" s="5"/>
    </row>
    <row r="27">
      <c r="B27" s="11" t="str">
        <f>Movies!C27</f>
        <v>Action, Biography, Drama</v>
      </c>
      <c r="C27" s="11" t="str">
        <f>IFERROR(__xludf.DUMMYFUNCTION("ARRAYFORMULA(TRIM(SPLIT(B27, "","")))
"),"Action")</f>
        <v>Action</v>
      </c>
      <c r="D27" s="11" t="str">
        <f>IFERROR(__xludf.DUMMYFUNCTION("""COMPUTED_VALUE"""),"Biography")</f>
        <v>Biography</v>
      </c>
      <c r="E27" s="11" t="str">
        <f>IFERROR(__xludf.DUMMYFUNCTION("""COMPUTED_VALUE"""),"Drama")</f>
        <v>Drama</v>
      </c>
      <c r="J27" s="19">
        <v>2.6</v>
      </c>
      <c r="K27" s="11">
        <f>COUNTIFS(Movies[Final Score], "&lt;" &amp; J27, Movies[Final Score], "&gt;=" &amp; J26)
</f>
        <v>0</v>
      </c>
      <c r="S27" s="31">
        <f>IFERROR(__xludf.DUMMYFUNCTION("""COMPUTED_VALUE"""),45778.0)</f>
        <v>45778</v>
      </c>
      <c r="T27" s="34">
        <f>COUNTIF(Movies!N:N, S27)</f>
        <v>1</v>
      </c>
      <c r="U27" s="11">
        <f t="shared" si="2"/>
        <v>125</v>
      </c>
      <c r="W27" s="51">
        <f>IFERROR(__xludf.DUMMYFUNCTION("""COMPUTED_VALUE"""),37211.0)</f>
        <v>37211</v>
      </c>
      <c r="X27" s="40">
        <f>IFERROR(__xludf.DUMMYFUNCTION("FILTER(
  Movies!F27:F1000,
  DATEVALUE(Movies!B27:B1000) = W27
)
"),8.0)</f>
        <v>8</v>
      </c>
      <c r="Y27" s="5"/>
      <c r="Z27" s="5"/>
      <c r="AA27" s="5"/>
      <c r="AB27" s="5"/>
    </row>
    <row r="28">
      <c r="B28" s="11" t="str">
        <f>Movies!C28</f>
        <v>Adventure, Drama, Sci-Fi</v>
      </c>
      <c r="C28" s="11" t="str">
        <f>IFERROR(__xludf.DUMMYFUNCTION("ARRAYFORMULA(TRIM(SPLIT(B28, "","")))
"),"Adventure")</f>
        <v>Adventure</v>
      </c>
      <c r="D28" s="11" t="str">
        <f>IFERROR(__xludf.DUMMYFUNCTION("""COMPUTED_VALUE"""),"Drama")</f>
        <v>Drama</v>
      </c>
      <c r="E28" s="11" t="str">
        <f>IFERROR(__xludf.DUMMYFUNCTION("""COMPUTED_VALUE"""),"Sci-Fi")</f>
        <v>Sci-Fi</v>
      </c>
      <c r="J28" s="19">
        <v>2.7</v>
      </c>
      <c r="K28" s="11">
        <f>COUNTIFS(Movies[Final Score], "&lt;" &amp; J28, Movies[Final Score], "&gt;=" &amp; J27)
</f>
        <v>0</v>
      </c>
      <c r="S28" s="31">
        <f>IFERROR(__xludf.DUMMYFUNCTION("""COMPUTED_VALUE"""),45789.0)</f>
        <v>45789</v>
      </c>
      <c r="T28" s="34">
        <f>COUNTIF(Movies!N:N, S28)</f>
        <v>1</v>
      </c>
      <c r="U28" s="11">
        <f t="shared" si="2"/>
        <v>126</v>
      </c>
      <c r="W28" s="51">
        <f>IFERROR(__xludf.DUMMYFUNCTION("""COMPUTED_VALUE"""),37232.0)</f>
        <v>37232</v>
      </c>
      <c r="X28" s="40">
        <f>IFERROR(__xludf.DUMMYFUNCTION("FILTER(
  Movies!F28:F1000,
  DATEVALUE(Movies!B28:B1000) = W28
)
"),6.949999999999999)</f>
        <v>6.95</v>
      </c>
      <c r="Y28" s="5"/>
      <c r="Z28" s="5"/>
      <c r="AA28" s="5"/>
      <c r="AB28" s="5"/>
    </row>
    <row r="29">
      <c r="B29" s="11" t="str">
        <f>Movies!C29</f>
        <v>Animation, Action, Adventure</v>
      </c>
      <c r="C29" s="11" t="str">
        <f>IFERROR(__xludf.DUMMYFUNCTION("ARRAYFORMULA(TRIM(SPLIT(B29, "","")))
"),"Animation")</f>
        <v>Animation</v>
      </c>
      <c r="D29" s="11" t="str">
        <f>IFERROR(__xludf.DUMMYFUNCTION("""COMPUTED_VALUE"""),"Action")</f>
        <v>Action</v>
      </c>
      <c r="E29" s="11" t="str">
        <f>IFERROR(__xludf.DUMMYFUNCTION("""COMPUTED_VALUE"""),"Adventure")</f>
        <v>Adventure</v>
      </c>
      <c r="H29" s="11">
        <f t="shared" ref="H29:H32" si="4">COUNTIF(C29:E1000, G29)</f>
        <v>0</v>
      </c>
      <c r="J29" s="19">
        <v>2.8</v>
      </c>
      <c r="K29" s="11">
        <f>COUNTIFS(Movies[Final Score], "&lt;" &amp; J29, Movies[Final Score], "&gt;=" &amp; J28)
</f>
        <v>1</v>
      </c>
      <c r="S29" s="31">
        <f>IFERROR(__xludf.DUMMYFUNCTION("""COMPUTED_VALUE"""),45801.0)</f>
        <v>45801</v>
      </c>
      <c r="T29" s="34">
        <f>COUNTIF(Movies!N:N, S29)</f>
        <v>1</v>
      </c>
      <c r="U29" s="11">
        <f t="shared" si="2"/>
        <v>127</v>
      </c>
      <c r="W29" s="51">
        <f>IFERROR(__xludf.DUMMYFUNCTION("""COMPUTED_VALUE"""),37244.0)</f>
        <v>37244</v>
      </c>
      <c r="X29" s="40">
        <f>IFERROR(__xludf.DUMMYFUNCTION("FILTER(
  Movies!F29:F1000,
  DATEVALUE(Movies!B29:B1000) = W29
)
"),8.899999999999999)</f>
        <v>8.9</v>
      </c>
      <c r="Y29" s="5"/>
      <c r="Z29" s="5"/>
      <c r="AA29" s="5"/>
      <c r="AB29" s="5"/>
    </row>
    <row r="30">
      <c r="B30" s="11" t="str">
        <f>Movies!C30</f>
        <v>Action, Sci-Fi, Thriller</v>
      </c>
      <c r="C30" s="11" t="str">
        <f>IFERROR(__xludf.DUMMYFUNCTION("ARRAYFORMULA(TRIM(SPLIT(B30, "","")))
"),"Action")</f>
        <v>Action</v>
      </c>
      <c r="D30" s="11" t="str">
        <f>IFERROR(__xludf.DUMMYFUNCTION("""COMPUTED_VALUE"""),"Sci-Fi")</f>
        <v>Sci-Fi</v>
      </c>
      <c r="E30" s="11" t="str">
        <f>IFERROR(__xludf.DUMMYFUNCTION("""COMPUTED_VALUE"""),"Thriller")</f>
        <v>Thriller</v>
      </c>
      <c r="H30" s="11">
        <f t="shared" si="4"/>
        <v>0</v>
      </c>
      <c r="J30" s="19">
        <v>2.9</v>
      </c>
      <c r="K30" s="11">
        <f>COUNTIFS(Movies[Final Score], "&lt;" &amp; J30, Movies[Final Score], "&gt;=" &amp; J29)
</f>
        <v>0</v>
      </c>
      <c r="S30" s="31">
        <f>IFERROR(__xludf.DUMMYFUNCTION("""COMPUTED_VALUE"""),45808.0)</f>
        <v>45808</v>
      </c>
      <c r="T30" s="34">
        <f>COUNTIF(Movies!N:N, S30)</f>
        <v>2</v>
      </c>
      <c r="U30" s="11">
        <f t="shared" si="2"/>
        <v>129</v>
      </c>
      <c r="W30" s="51">
        <f>IFERROR(__xludf.DUMMYFUNCTION("""COMPUTED_VALUE"""),37274.0)</f>
        <v>37274</v>
      </c>
      <c r="X30" s="40">
        <f>IFERROR(__xludf.DUMMYFUNCTION("FILTER(
  Movies!F30:F1000,
  DATEVALUE(Movies!B30:B1000) = W30
)
"),7.333333333333333)</f>
        <v>7.333333333</v>
      </c>
      <c r="Y30" s="5"/>
      <c r="Z30" s="5"/>
      <c r="AA30" s="5"/>
      <c r="AB30" s="5"/>
    </row>
    <row r="31">
      <c r="B31" s="11" t="str">
        <f>Movies!C31</f>
        <v>Drama, Romance</v>
      </c>
      <c r="C31" s="11" t="str">
        <f>IFERROR(__xludf.DUMMYFUNCTION("ARRAYFORMULA(TRIM(SPLIT(B31, "","")))
"),"Drama")</f>
        <v>Drama</v>
      </c>
      <c r="D31" s="11" t="str">
        <f>IFERROR(__xludf.DUMMYFUNCTION("""COMPUTED_VALUE"""),"Romance")</f>
        <v>Romance</v>
      </c>
      <c r="H31" s="11">
        <f t="shared" si="4"/>
        <v>0</v>
      </c>
      <c r="J31" s="19">
        <v>3.0</v>
      </c>
      <c r="K31" s="11">
        <f>COUNTIFS(Movies[Final Score], "&lt;" &amp; J31, Movies[Final Score], "&gt;=" &amp; J30)
</f>
        <v>0</v>
      </c>
      <c r="S31" s="31">
        <f>IFERROR(__xludf.DUMMYFUNCTION("""COMPUTED_VALUE"""),45820.0)</f>
        <v>45820</v>
      </c>
      <c r="T31" s="34">
        <f>COUNTIF(Movies!N:N, S31)</f>
        <v>1</v>
      </c>
      <c r="U31" s="11">
        <f t="shared" si="2"/>
        <v>130</v>
      </c>
      <c r="W31" s="51">
        <f>IFERROR(__xludf.DUMMYFUNCTION("""COMPUTED_VALUE"""),37379.0)</f>
        <v>37379</v>
      </c>
      <c r="X31" s="40">
        <f>IFERROR(__xludf.DUMMYFUNCTION("FILTER(
  Movies!F31:F1000,
  DATEVALUE(Movies!B31:B1000) = W31
)
"),7.449999999999999)</f>
        <v>7.45</v>
      </c>
      <c r="Y31" s="5"/>
      <c r="Z31" s="5"/>
      <c r="AA31" s="5"/>
      <c r="AB31" s="5"/>
    </row>
    <row r="32">
      <c r="B32" s="11" t="str">
        <f>Movies!C32</f>
        <v>Action, Crime, Drama</v>
      </c>
      <c r="C32" s="11" t="str">
        <f>IFERROR(__xludf.DUMMYFUNCTION("ARRAYFORMULA(TRIM(SPLIT(B32, "","")))
"),"Action")</f>
        <v>Action</v>
      </c>
      <c r="D32" s="11" t="str">
        <f>IFERROR(__xludf.DUMMYFUNCTION("""COMPUTED_VALUE"""),"Crime")</f>
        <v>Crime</v>
      </c>
      <c r="E32" s="11" t="str">
        <f>IFERROR(__xludf.DUMMYFUNCTION("""COMPUTED_VALUE"""),"Drama")</f>
        <v>Drama</v>
      </c>
      <c r="H32" s="11">
        <f t="shared" si="4"/>
        <v>0</v>
      </c>
      <c r="J32" s="19">
        <v>3.1</v>
      </c>
      <c r="K32" s="11">
        <f>COUNTIFS(Movies[Final Score], "&lt;" &amp; J32, Movies[Final Score], "&gt;=" &amp; J31)
</f>
        <v>0</v>
      </c>
      <c r="S32" s="31">
        <f>IFERROR(__xludf.DUMMYFUNCTION("""COMPUTED_VALUE"""),45846.0)</f>
        <v>45846</v>
      </c>
      <c r="T32" s="34">
        <f>COUNTIF(Movies!N:N, S32)</f>
        <v>3</v>
      </c>
      <c r="U32" s="11">
        <f t="shared" si="2"/>
        <v>133</v>
      </c>
      <c r="W32" s="51">
        <f>IFERROR(__xludf.DUMMYFUNCTION("""COMPUTED_VALUE"""),37421.0)</f>
        <v>37421</v>
      </c>
      <c r="X32" s="40">
        <f>IFERROR(__xludf.DUMMYFUNCTION("FILTER(
  Movies!F32:F1000,
  DATEVALUE(Movies!B32:B1000) = W32
)
"),7.8)</f>
        <v>7.8</v>
      </c>
      <c r="Y32" s="5"/>
      <c r="Z32" s="5"/>
      <c r="AA32" s="5"/>
      <c r="AB32" s="5"/>
    </row>
    <row r="33">
      <c r="B33" s="11" t="str">
        <f>Movies!C33</f>
        <v>Adventure, Drama, Fantasy</v>
      </c>
      <c r="C33" s="11" t="str">
        <f>IFERROR(__xludf.DUMMYFUNCTION("ARRAYFORMULA(TRIM(SPLIT(B33, "","")))
"),"Adventure")</f>
        <v>Adventure</v>
      </c>
      <c r="D33" s="11" t="str">
        <f>IFERROR(__xludf.DUMMYFUNCTION("""COMPUTED_VALUE"""),"Drama")</f>
        <v>Drama</v>
      </c>
      <c r="E33" s="11" t="str">
        <f>IFERROR(__xludf.DUMMYFUNCTION("""COMPUTED_VALUE"""),"Fantasy")</f>
        <v>Fantasy</v>
      </c>
      <c r="J33" s="19">
        <v>3.2</v>
      </c>
      <c r="K33" s="11">
        <f>COUNTIFS(Movies[Final Score], "&lt;" &amp; J33, Movies[Final Score], "&gt;=" &amp; J32)
</f>
        <v>0</v>
      </c>
      <c r="S33" s="31">
        <f>IFERROR(__xludf.DUMMYFUNCTION("""COMPUTED_VALUE"""),45849.0)</f>
        <v>45849</v>
      </c>
      <c r="T33" s="34">
        <f>COUNTIF(Movies!N:N, S33)</f>
        <v>2</v>
      </c>
      <c r="U33" s="11">
        <f t="shared" si="2"/>
        <v>135</v>
      </c>
      <c r="W33" s="51">
        <f>IFERROR(__xludf.DUMMYFUNCTION("""COMPUTED_VALUE"""),37575.0)</f>
        <v>37575</v>
      </c>
      <c r="X33" s="40">
        <f>IFERROR(__xludf.DUMMYFUNCTION("FILTER(
  Movies!F33:F1000,
  DATEVALUE(Movies!B33:B1000) = W33
)
"),8.133333333333333)</f>
        <v>8.133333333</v>
      </c>
      <c r="Y33" s="5"/>
      <c r="Z33" s="5"/>
      <c r="AA33" s="5"/>
      <c r="AB33" s="5"/>
    </row>
    <row r="34">
      <c r="B34" s="11" t="str">
        <f>Movies!C34</f>
        <v>Crime, Drama, Mystery</v>
      </c>
      <c r="C34" s="11" t="str">
        <f>IFERROR(__xludf.DUMMYFUNCTION("ARRAYFORMULA(TRIM(SPLIT(B34, "","")))
"),"Crime")</f>
        <v>Crime</v>
      </c>
      <c r="D34" s="11" t="str">
        <f>IFERROR(__xludf.DUMMYFUNCTION("""COMPUTED_VALUE"""),"Drama")</f>
        <v>Drama</v>
      </c>
      <c r="E34" s="11" t="str">
        <f>IFERROR(__xludf.DUMMYFUNCTION("""COMPUTED_VALUE"""),"Mystery")</f>
        <v>Mystery</v>
      </c>
      <c r="J34" s="19">
        <v>3.3</v>
      </c>
      <c r="K34" s="11">
        <f>COUNTIFS(Movies[Final Score], "&lt;" &amp; J34, Movies[Final Score], "&gt;=" &amp; J33)
</f>
        <v>0</v>
      </c>
      <c r="S34" s="31">
        <f>IFERROR(__xludf.DUMMYFUNCTION("""COMPUTED_VALUE"""),45855.0)</f>
        <v>45855</v>
      </c>
      <c r="T34" s="34">
        <f>COUNTIF(Movies!N:N, S34)</f>
        <v>1</v>
      </c>
      <c r="U34" s="11">
        <f t="shared" si="2"/>
        <v>136</v>
      </c>
      <c r="W34" s="51">
        <f>IFERROR(__xludf.DUMMYFUNCTION("""COMPUTED_VALUE"""),37608.0)</f>
        <v>37608</v>
      </c>
      <c r="X34" s="5" t="str">
        <f>IFERROR(__xludf.DUMMYFUNCTION("FILTER(
  Movies!F34:F1000,
  DATEVALUE(Movies!B34:B1000) = W34
)
"),"#N/A")</f>
        <v>#N/A</v>
      </c>
      <c r="Y34" s="5"/>
      <c r="Z34" s="5"/>
      <c r="AA34" s="5"/>
      <c r="AB34" s="5"/>
    </row>
    <row r="35">
      <c r="B35" s="11" t="str">
        <f>Movies!C35</f>
        <v>Action, Crime, Drama</v>
      </c>
      <c r="C35" s="11" t="str">
        <f>IFERROR(__xludf.DUMMYFUNCTION("ARRAYFORMULA(TRIM(SPLIT(B35, "","")))
"),"Action")</f>
        <v>Action</v>
      </c>
      <c r="D35" s="11" t="str">
        <f>IFERROR(__xludf.DUMMYFUNCTION("""COMPUTED_VALUE"""),"Crime")</f>
        <v>Crime</v>
      </c>
      <c r="E35" s="11" t="str">
        <f>IFERROR(__xludf.DUMMYFUNCTION("""COMPUTED_VALUE"""),"Drama")</f>
        <v>Drama</v>
      </c>
      <c r="J35" s="19">
        <v>3.4</v>
      </c>
      <c r="K35" s="11">
        <f>COUNTIFS(Movies[Final Score], "&lt;" &amp; J35, Movies[Final Score], "&gt;=" &amp; J34)
</f>
        <v>0</v>
      </c>
      <c r="S35" s="31">
        <f>IFERROR(__xludf.DUMMYFUNCTION("""COMPUTED_VALUE"""),45858.0)</f>
        <v>45858</v>
      </c>
      <c r="T35" s="34">
        <f>COUNTIF(Movies!N:N, S35)</f>
        <v>2</v>
      </c>
      <c r="U35" s="11">
        <f t="shared" si="2"/>
        <v>138</v>
      </c>
      <c r="W35" s="51">
        <f>IFERROR(__xludf.DUMMYFUNCTION("""COMPUTED_VALUE"""),37615.0)</f>
        <v>37615</v>
      </c>
      <c r="X35" s="40">
        <f>IFERROR(__xludf.DUMMYFUNCTION("FILTER(
  Movies!F35:F1000,
  DATEVALUE(Movies!B35:B1000) = W35
)
"),8.499999999999998)</f>
        <v>8.5</v>
      </c>
      <c r="Y35" s="5"/>
      <c r="Z35" s="5"/>
      <c r="AA35" s="5"/>
      <c r="AB35" s="5"/>
    </row>
    <row r="36">
      <c r="B36" s="11" t="str">
        <f>Movies!C36</f>
        <v>Drama, War</v>
      </c>
      <c r="C36" s="11" t="str">
        <f>IFERROR(__xludf.DUMMYFUNCTION("ARRAYFORMULA(TRIM(SPLIT(B36, "","")))
"),"Drama")</f>
        <v>Drama</v>
      </c>
      <c r="D36" s="11" t="str">
        <f>IFERROR(__xludf.DUMMYFUNCTION("""COMPUTED_VALUE"""),"War")</f>
        <v>War</v>
      </c>
      <c r="J36" s="19">
        <v>3.5</v>
      </c>
      <c r="K36" s="11">
        <f>COUNTIFS(Movies[Final Score], "&lt;" &amp; J36, Movies[Final Score], "&gt;=" &amp; J35)
</f>
        <v>1</v>
      </c>
      <c r="S36" s="31">
        <f>IFERROR(__xludf.DUMMYFUNCTION("""COMPUTED_VALUE"""),45861.0)</f>
        <v>45861</v>
      </c>
      <c r="T36" s="34">
        <f>COUNTIF(Movies!N:N, S36)</f>
        <v>3</v>
      </c>
      <c r="U36" s="11">
        <f t="shared" si="2"/>
        <v>141</v>
      </c>
      <c r="W36" s="51">
        <f>IFERROR(__xludf.DUMMYFUNCTION("""COMPUTED_VALUE"""),37652.0)</f>
        <v>37652</v>
      </c>
      <c r="X36" s="40">
        <f>IFERROR(__xludf.DUMMYFUNCTION("FILTER(
  Movies!F36:F1000,
  DATEVALUE(Movies!B36:B1000) = W36
)
"),6.6000000000000005)</f>
        <v>6.6</v>
      </c>
      <c r="Y36" s="5"/>
      <c r="Z36" s="5"/>
      <c r="AA36" s="5"/>
      <c r="AB36" s="5"/>
    </row>
    <row r="37">
      <c r="B37" s="11" t="str">
        <f>Movies!C37</f>
        <v>Drama, Romance</v>
      </c>
      <c r="C37" s="11" t="str">
        <f>IFERROR(__xludf.DUMMYFUNCTION("ARRAYFORMULA(TRIM(SPLIT(B37, "","")))
"),"Drama")</f>
        <v>Drama</v>
      </c>
      <c r="D37" s="11" t="str">
        <f>IFERROR(__xludf.DUMMYFUNCTION("""COMPUTED_VALUE"""),"Romance")</f>
        <v>Romance</v>
      </c>
      <c r="J37" s="19">
        <v>3.6</v>
      </c>
      <c r="K37" s="11">
        <f>COUNTIFS(Movies[Final Score], "&lt;" &amp; J37, Movies[Final Score], "&gt;=" &amp; J36)
</f>
        <v>1</v>
      </c>
      <c r="S37" s="31">
        <f>IFERROR(__xludf.DUMMYFUNCTION("""COMPUTED_VALUE"""),45863.0)</f>
        <v>45863</v>
      </c>
      <c r="T37" s="34">
        <f>COUNTIF(Movies!N:N, S37)</f>
        <v>4</v>
      </c>
      <c r="U37" s="11">
        <f t="shared" si="2"/>
        <v>145</v>
      </c>
      <c r="W37" s="51">
        <f>IFERROR(__xludf.DUMMYFUNCTION("""COMPUTED_VALUE"""),37743.0)</f>
        <v>37743</v>
      </c>
      <c r="X37" s="5" t="str">
        <f>IFERROR(__xludf.DUMMYFUNCTION("FILTER(
  Movies!F37:F1000,
  DATEVALUE(Movies!B37:B1000) = W37
)
"),"#N/A")</f>
        <v>#N/A</v>
      </c>
      <c r="Y37" s="5"/>
      <c r="Z37" s="5"/>
      <c r="AA37" s="5"/>
      <c r="AB37" s="5"/>
    </row>
    <row r="38">
      <c r="B38" s="11" t="str">
        <f>Movies!C38</f>
        <v>Action, Adventure, Sci-Fi</v>
      </c>
      <c r="C38" s="11" t="str">
        <f>IFERROR(__xludf.DUMMYFUNCTION("ARRAYFORMULA(TRIM(SPLIT(B38, "","")))
"),"Action")</f>
        <v>Action</v>
      </c>
      <c r="D38" s="11" t="str">
        <f>IFERROR(__xludf.DUMMYFUNCTION("""COMPUTED_VALUE"""),"Adventure")</f>
        <v>Adventure</v>
      </c>
      <c r="E38" s="11" t="str">
        <f>IFERROR(__xludf.DUMMYFUNCTION("""COMPUTED_VALUE"""),"Sci-Fi")</f>
        <v>Sci-Fi</v>
      </c>
      <c r="J38" s="19">
        <v>3.7</v>
      </c>
      <c r="K38" s="11">
        <f>COUNTIFS(Movies[Final Score], "&lt;" &amp; J38, Movies[Final Score], "&gt;=" &amp; J37)
</f>
        <v>0</v>
      </c>
      <c r="S38" s="31">
        <f>IFERROR(__xludf.DUMMYFUNCTION("""COMPUTED_VALUE"""),45864.0)</f>
        <v>45864</v>
      </c>
      <c r="T38" s="34">
        <f>COUNTIF(Movies!N:N, S38)</f>
        <v>1</v>
      </c>
      <c r="U38" s="11">
        <f t="shared" si="2"/>
        <v>146</v>
      </c>
      <c r="W38" s="51">
        <f>IFERROR(__xludf.DUMMYFUNCTION("""COMPUTED_VALUE"""),37764.0)</f>
        <v>37764</v>
      </c>
      <c r="X38" s="40">
        <f>IFERROR(__xludf.DUMMYFUNCTION("FILTER(
  Movies!F38:F1000,
  DATEVALUE(Movies!B38:B1000) = W38
)
"),6.866666666666667)</f>
        <v>6.866666667</v>
      </c>
      <c r="Y38" s="5"/>
      <c r="Z38" s="5"/>
      <c r="AA38" s="5"/>
      <c r="AB38" s="5"/>
    </row>
    <row r="39">
      <c r="B39" s="11" t="str">
        <f>Movies!C39</f>
        <v>Drama, Romance, Sci-Fi</v>
      </c>
      <c r="C39" s="11" t="str">
        <f>IFERROR(__xludf.DUMMYFUNCTION("ARRAYFORMULA(TRIM(SPLIT(B39, "","")))
"),"Drama")</f>
        <v>Drama</v>
      </c>
      <c r="D39" s="11" t="str">
        <f>IFERROR(__xludf.DUMMYFUNCTION("""COMPUTED_VALUE"""),"Romance")</f>
        <v>Romance</v>
      </c>
      <c r="E39" s="11" t="str">
        <f>IFERROR(__xludf.DUMMYFUNCTION("""COMPUTED_VALUE"""),"Sci-Fi")</f>
        <v>Sci-Fi</v>
      </c>
      <c r="J39" s="19">
        <v>3.8</v>
      </c>
      <c r="K39" s="11">
        <f>COUNTIFS(Movies[Final Score], "&lt;" &amp; J39, Movies[Final Score], "&gt;=" &amp; J38)
</f>
        <v>0</v>
      </c>
      <c r="S39" s="31">
        <f>IFERROR(__xludf.DUMMYFUNCTION("""COMPUTED_VALUE"""),45865.0)</f>
        <v>45865</v>
      </c>
      <c r="T39" s="34">
        <f>COUNTIF(Movies!N:N, S39)</f>
        <v>1</v>
      </c>
      <c r="U39" s="11">
        <f t="shared" si="2"/>
        <v>147</v>
      </c>
      <c r="W39" s="51">
        <f>IFERROR(__xludf.DUMMYFUNCTION("""COMPUTED_VALUE"""),37799.0)</f>
        <v>37799</v>
      </c>
      <c r="X39" s="40">
        <f>IFERROR(__xludf.DUMMYFUNCTION("FILTER(
  Movies!F39:F1000,
  DATEVALUE(Movies!B39:B1000) = W39
)
"),5.916666666666667)</f>
        <v>5.916666667</v>
      </c>
      <c r="Y39" s="5"/>
      <c r="Z39" s="5"/>
      <c r="AA39" s="5"/>
      <c r="AB39" s="5"/>
    </row>
    <row r="40">
      <c r="B40" s="11" t="str">
        <f>Movies!C40</f>
        <v>Action, Drama, Mystery</v>
      </c>
      <c r="C40" s="11" t="str">
        <f>IFERROR(__xludf.DUMMYFUNCTION("ARRAYFORMULA(TRIM(SPLIT(B40, "","")))
"),"Action")</f>
        <v>Action</v>
      </c>
      <c r="D40" s="11" t="str">
        <f>IFERROR(__xludf.DUMMYFUNCTION("""COMPUTED_VALUE"""),"Drama")</f>
        <v>Drama</v>
      </c>
      <c r="E40" s="11" t="str">
        <f>IFERROR(__xludf.DUMMYFUNCTION("""COMPUTED_VALUE"""),"Mystery")</f>
        <v>Mystery</v>
      </c>
      <c r="J40" s="19">
        <v>3.9</v>
      </c>
      <c r="K40" s="11">
        <f>COUNTIFS(Movies[Final Score], "&lt;" &amp; J40, Movies[Final Score], "&gt;=" &amp; J39)
</f>
        <v>0</v>
      </c>
      <c r="S40" s="31">
        <f>IFERROR(__xludf.DUMMYFUNCTION("""COMPUTED_VALUE"""),45868.0)</f>
        <v>45868</v>
      </c>
      <c r="T40" s="34">
        <f>COUNTIF(Movies!N:N, S40)</f>
        <v>2</v>
      </c>
      <c r="U40" s="11">
        <f t="shared" si="2"/>
        <v>149</v>
      </c>
      <c r="W40" s="51">
        <f>IFERROR(__xludf.DUMMYFUNCTION("""COMPUTED_VALUE"""),37883.0)</f>
        <v>37883</v>
      </c>
      <c r="X40" s="40">
        <f>IFERROR(__xludf.DUMMYFUNCTION("FILTER(
  Movies!F40:F1000,
  DATEVALUE(Movies!B40:B1000) = W40
)
"),6.216666666666666)</f>
        <v>6.216666667</v>
      </c>
      <c r="Y40" s="5"/>
      <c r="Z40" s="5"/>
      <c r="AA40" s="5"/>
      <c r="AB40" s="5"/>
    </row>
    <row r="41">
      <c r="B41" s="11" t="str">
        <f>Movies!C41</f>
        <v>Biography, Drama, Thriller</v>
      </c>
      <c r="C41" s="11" t="str">
        <f>IFERROR(__xludf.DUMMYFUNCTION("ARRAYFORMULA(TRIM(SPLIT(B41, "","")))
"),"Biography")</f>
        <v>Biography</v>
      </c>
      <c r="D41" s="11" t="str">
        <f>IFERROR(__xludf.DUMMYFUNCTION("""COMPUTED_VALUE"""),"Drama")</f>
        <v>Drama</v>
      </c>
      <c r="E41" s="11" t="str">
        <f>IFERROR(__xludf.DUMMYFUNCTION("""COMPUTED_VALUE"""),"Thriller")</f>
        <v>Thriller</v>
      </c>
      <c r="J41" s="19">
        <v>4.0</v>
      </c>
      <c r="K41" s="11">
        <f>COUNTIFS(Movies[Final Score], "&lt;" &amp; J41, Movies[Final Score], "&gt;=" &amp; J40)
</f>
        <v>0</v>
      </c>
      <c r="S41" s="31">
        <f>IFERROR(__xludf.DUMMYFUNCTION("""COMPUTED_VALUE"""),45874.0)</f>
        <v>45874</v>
      </c>
      <c r="T41" s="34">
        <f>COUNTIF(Movies!N:N, S41)</f>
        <v>30</v>
      </c>
      <c r="U41" s="11">
        <f t="shared" si="2"/>
        <v>179</v>
      </c>
      <c r="W41" s="51">
        <f>IFERROR(__xludf.DUMMYFUNCTION("""COMPUTED_VALUE"""),37972.0)</f>
        <v>37972</v>
      </c>
      <c r="X41" s="5" t="str">
        <f>IFERROR(__xludf.DUMMYFUNCTION("FILTER(
  Movies!F41:F1000,
  DATEVALUE(Movies!B41:B1000) = W41
)
"),"#N/A")</f>
        <v>#N/A</v>
      </c>
      <c r="Y41" s="5"/>
      <c r="Z41" s="5"/>
      <c r="AA41" s="5"/>
      <c r="AB41" s="5"/>
    </row>
    <row r="42">
      <c r="B42" s="11" t="str">
        <f>Movies!C42</f>
        <v>Action, Adventure, Comedy</v>
      </c>
      <c r="C42" s="11" t="str">
        <f>IFERROR(__xludf.DUMMYFUNCTION("ARRAYFORMULA(TRIM(SPLIT(B42, "","")))
"),"Action")</f>
        <v>Action</v>
      </c>
      <c r="D42" s="11" t="str">
        <f>IFERROR(__xludf.DUMMYFUNCTION("""COMPUTED_VALUE"""),"Adventure")</f>
        <v>Adventure</v>
      </c>
      <c r="E42" s="11" t="str">
        <f>IFERROR(__xludf.DUMMYFUNCTION("""COMPUTED_VALUE"""),"Comedy")</f>
        <v>Comedy</v>
      </c>
      <c r="J42" s="19">
        <v>4.1</v>
      </c>
      <c r="K42" s="11">
        <f>COUNTIFS(Movies[Final Score], "&lt;" &amp; J42, Movies[Final Score], "&gt;=" &amp; J41)
</f>
        <v>0</v>
      </c>
      <c r="S42" s="31">
        <f>IFERROR(__xludf.DUMMYFUNCTION("""COMPUTED_VALUE"""),45875.0)</f>
        <v>45875</v>
      </c>
      <c r="T42" s="34">
        <f>COUNTIF(Movies!N:N, S42)</f>
        <v>1</v>
      </c>
      <c r="U42" s="11">
        <f t="shared" si="2"/>
        <v>180</v>
      </c>
      <c r="W42" s="51">
        <f>IFERROR(__xludf.DUMMYFUNCTION("""COMPUTED_VALUE"""),38142.0)</f>
        <v>38142</v>
      </c>
      <c r="X42" s="40">
        <f>IFERROR(__xludf.DUMMYFUNCTION("FILTER(
  Movies!F42:F1000,
  DATEVALUE(Movies!B42:B1000) = W42
)
"),7.999999999999999)</f>
        <v>8</v>
      </c>
      <c r="Y42" s="5"/>
      <c r="Z42" s="5"/>
      <c r="AA42" s="5"/>
      <c r="AB42" s="5"/>
    </row>
    <row r="43">
      <c r="B43" s="11" t="str">
        <f>Movies!C43</f>
        <v>Action, Adventure, Comedy</v>
      </c>
      <c r="C43" s="11" t="str">
        <f>IFERROR(__xludf.DUMMYFUNCTION("ARRAYFORMULA(TRIM(SPLIT(B43, "","")))
"),"Action")</f>
        <v>Action</v>
      </c>
      <c r="D43" s="11" t="str">
        <f>IFERROR(__xludf.DUMMYFUNCTION("""COMPUTED_VALUE"""),"Adventure")</f>
        <v>Adventure</v>
      </c>
      <c r="E43" s="11" t="str">
        <f>IFERROR(__xludf.DUMMYFUNCTION("""COMPUTED_VALUE"""),"Comedy")</f>
        <v>Comedy</v>
      </c>
      <c r="J43" s="19">
        <v>4.2</v>
      </c>
      <c r="K43" s="11">
        <f>COUNTIFS(Movies[Final Score], "&lt;" &amp; J43, Movies[Final Score], "&gt;=" &amp; J42)
</f>
        <v>0</v>
      </c>
      <c r="S43" s="31">
        <f>IFERROR(__xludf.DUMMYFUNCTION("""COMPUTED_VALUE"""),45881.0)</f>
        <v>45881</v>
      </c>
      <c r="T43" s="34">
        <f>COUNTIF(Movies!N:N, S43)</f>
        <v>1</v>
      </c>
      <c r="U43" s="11">
        <f t="shared" si="2"/>
        <v>181</v>
      </c>
      <c r="W43" s="51">
        <f>IFERROR(__xludf.DUMMYFUNCTION("""COMPUTED_VALUE"""),38163.0)</f>
        <v>38163</v>
      </c>
      <c r="X43" s="40">
        <f>IFERROR(__xludf.DUMMYFUNCTION("FILTER(
  Movies!F43:F1000,
  DATEVALUE(Movies!B43:B1000) = W43
)
"),7.916666666666667)</f>
        <v>7.916666667</v>
      </c>
      <c r="Y43" s="5"/>
      <c r="Z43" s="5"/>
      <c r="AA43" s="5"/>
      <c r="AB43" s="5"/>
    </row>
    <row r="44">
      <c r="B44" s="11" t="str">
        <f>Movies!C44</f>
        <v>Action, Crime, Drama</v>
      </c>
      <c r="C44" s="11" t="str">
        <f>IFERROR(__xludf.DUMMYFUNCTION("ARRAYFORMULA(TRIM(SPLIT(B44, "","")))
"),"Action")</f>
        <v>Action</v>
      </c>
      <c r="D44" s="11" t="str">
        <f>IFERROR(__xludf.DUMMYFUNCTION("""COMPUTED_VALUE"""),"Crime")</f>
        <v>Crime</v>
      </c>
      <c r="E44" s="11" t="str">
        <f>IFERROR(__xludf.DUMMYFUNCTION("""COMPUTED_VALUE"""),"Drama")</f>
        <v>Drama</v>
      </c>
      <c r="J44" s="19">
        <v>4.3</v>
      </c>
      <c r="K44" s="11">
        <f>COUNTIFS(Movies[Final Score], "&lt;" &amp; J44, Movies[Final Score], "&gt;=" &amp; J43)
</f>
        <v>0</v>
      </c>
      <c r="S44" s="31">
        <f>IFERROR(__xludf.DUMMYFUNCTION("""COMPUTED_VALUE"""),45886.0)</f>
        <v>45886</v>
      </c>
      <c r="T44" s="34">
        <f>COUNTIF(Movies!N:N, S44)</f>
        <v>1</v>
      </c>
      <c r="U44" s="11">
        <f t="shared" si="2"/>
        <v>182</v>
      </c>
      <c r="W44" s="51">
        <f>IFERROR(__xludf.DUMMYFUNCTION("""COMPUTED_VALUE"""),38168.0)</f>
        <v>38168</v>
      </c>
      <c r="X44" s="40">
        <f>IFERROR(__xludf.DUMMYFUNCTION("FILTER(
  Movies!F44:F1000,
  DATEVALUE(Movies!B44:B1000) = W44
)
"),6.783333333333334)</f>
        <v>6.783333333</v>
      </c>
      <c r="Y44" s="5"/>
      <c r="Z44" s="5"/>
      <c r="AA44" s="5"/>
      <c r="AB44" s="5"/>
    </row>
    <row r="45">
      <c r="B45" s="11" t="str">
        <f>Movies!C45</f>
        <v>Action, Adventure, Sci-Fi</v>
      </c>
      <c r="C45" s="11" t="str">
        <f>IFERROR(__xludf.DUMMYFUNCTION("ARRAYFORMULA(TRIM(SPLIT(B45, "","")))
"),"Action")</f>
        <v>Action</v>
      </c>
      <c r="D45" s="11" t="str">
        <f>IFERROR(__xludf.DUMMYFUNCTION("""COMPUTED_VALUE"""),"Adventure")</f>
        <v>Adventure</v>
      </c>
      <c r="E45" s="11" t="str">
        <f>IFERROR(__xludf.DUMMYFUNCTION("""COMPUTED_VALUE"""),"Sci-Fi")</f>
        <v>Sci-Fi</v>
      </c>
      <c r="J45" s="19">
        <v>4.4</v>
      </c>
      <c r="K45" s="11">
        <f>COUNTIFS(Movies[Final Score], "&lt;" &amp; J45, Movies[Final Score], "&gt;=" &amp; J44)
</f>
        <v>1</v>
      </c>
      <c r="S45" s="31">
        <f>IFERROR(__xludf.DUMMYFUNCTION("""COMPUTED_VALUE"""),45887.0)</f>
        <v>45887</v>
      </c>
      <c r="T45" s="34">
        <f>COUNTIF(Movies!N:N, S45)</f>
        <v>1</v>
      </c>
      <c r="U45" s="11">
        <f t="shared" si="2"/>
        <v>183</v>
      </c>
      <c r="W45" s="51">
        <f>IFERROR(__xludf.DUMMYFUNCTION("""COMPUTED_VALUE"""),38184.0)</f>
        <v>38184</v>
      </c>
      <c r="X45" s="40">
        <f>IFERROR(__xludf.DUMMYFUNCTION("FILTER(
  Movies!F45:F1000,
  DATEVALUE(Movies!B45:B1000) = W45
)
"),6.1000000000000005)</f>
        <v>6.1</v>
      </c>
      <c r="Y45" s="5"/>
      <c r="Z45" s="5"/>
      <c r="AA45" s="5"/>
      <c r="AB45" s="5"/>
    </row>
    <row r="46">
      <c r="B46" s="11" t="str">
        <f>Movies!C46</f>
        <v>Biography, Comedy, Drama</v>
      </c>
      <c r="C46" s="11" t="str">
        <f>IFERROR(__xludf.DUMMYFUNCTION("ARRAYFORMULA(TRIM(SPLIT(B46, "","")))
"),"Biography")</f>
        <v>Biography</v>
      </c>
      <c r="D46" s="11" t="str">
        <f>IFERROR(__xludf.DUMMYFUNCTION("""COMPUTED_VALUE"""),"Comedy")</f>
        <v>Comedy</v>
      </c>
      <c r="E46" s="11" t="str">
        <f>IFERROR(__xludf.DUMMYFUNCTION("""COMPUTED_VALUE"""),"Drama")</f>
        <v>Drama</v>
      </c>
      <c r="J46" s="19">
        <v>4.5</v>
      </c>
      <c r="K46" s="11">
        <f>COUNTIFS(Movies[Final Score], "&lt;" &amp; J46, Movies[Final Score], "&gt;=" &amp; J45)
</f>
        <v>3</v>
      </c>
      <c r="S46" s="31">
        <f>IFERROR(__xludf.DUMMYFUNCTION("""COMPUTED_VALUE"""),45888.0)</f>
        <v>45888</v>
      </c>
      <c r="T46" s="34">
        <f>COUNTIF(Movies!N:N, S46)</f>
        <v>1</v>
      </c>
      <c r="U46" s="11">
        <f t="shared" si="2"/>
        <v>184</v>
      </c>
      <c r="W46" s="51">
        <f>IFERROR(__xludf.DUMMYFUNCTION("""COMPUTED_VALUE"""),38191.0)</f>
        <v>38191</v>
      </c>
      <c r="X46" s="40">
        <f>IFERROR(__xludf.DUMMYFUNCTION("FILTER(
  Movies!F46:F1000,
  DATEVALUE(Movies!B46:B1000) = W46
)
"),7.833333333333333)</f>
        <v>7.833333333</v>
      </c>
      <c r="Y46" s="5"/>
      <c r="Z46" s="5"/>
      <c r="AA46" s="5"/>
      <c r="AB46" s="5"/>
    </row>
    <row r="47">
      <c r="B47" s="11" t="str">
        <f>Movies!C47</f>
        <v>Drama, History, War</v>
      </c>
      <c r="C47" s="11" t="str">
        <f>IFERROR(__xludf.DUMMYFUNCTION("ARRAYFORMULA(TRIM(SPLIT(B47, "","")))
"),"Drama")</f>
        <v>Drama</v>
      </c>
      <c r="D47" s="11" t="str">
        <f>IFERROR(__xludf.DUMMYFUNCTION("""COMPUTED_VALUE"""),"History")</f>
        <v>History</v>
      </c>
      <c r="E47" s="11" t="str">
        <f>IFERROR(__xludf.DUMMYFUNCTION("""COMPUTED_VALUE"""),"War")</f>
        <v>War</v>
      </c>
      <c r="J47" s="19">
        <v>4.6</v>
      </c>
      <c r="K47" s="11">
        <f>COUNTIFS(Movies[Final Score], "&lt;" &amp; J47, Movies[Final Score], "&gt;=" &amp; J46)
</f>
        <v>0</v>
      </c>
      <c r="S47" s="31">
        <f>IFERROR(__xludf.DUMMYFUNCTION("""COMPUTED_VALUE"""),45890.0)</f>
        <v>45890</v>
      </c>
      <c r="T47" s="34">
        <f>COUNTIF(Movies!N:N, S47)</f>
        <v>1</v>
      </c>
      <c r="U47" s="11">
        <f t="shared" si="2"/>
        <v>185</v>
      </c>
      <c r="W47" s="51">
        <f>IFERROR(__xludf.DUMMYFUNCTION("""COMPUTED_VALUE"""),38198.0)</f>
        <v>38198</v>
      </c>
      <c r="X47" s="5" t="str">
        <f>IFERROR(__xludf.DUMMYFUNCTION("FILTER(
  Movies!F47:F1000,
  DATEVALUE(Movies!B47:B1000) = W47
)
"),"#N/A")</f>
        <v>#N/A</v>
      </c>
      <c r="Y47" s="5"/>
      <c r="Z47" s="5"/>
      <c r="AA47" s="5"/>
      <c r="AB47" s="5"/>
    </row>
    <row r="48">
      <c r="B48" s="11" t="str">
        <f>Movies!C48</f>
        <v>Action, Drama, Sport</v>
      </c>
      <c r="C48" s="11" t="str">
        <f>IFERROR(__xludf.DUMMYFUNCTION("ARRAYFORMULA(TRIM(SPLIT(B48, "","")))
"),"Action")</f>
        <v>Action</v>
      </c>
      <c r="D48" s="11" t="str">
        <f>IFERROR(__xludf.DUMMYFUNCTION("""COMPUTED_VALUE"""),"Drama")</f>
        <v>Drama</v>
      </c>
      <c r="E48" s="11" t="str">
        <f>IFERROR(__xludf.DUMMYFUNCTION("""COMPUTED_VALUE"""),"Sport")</f>
        <v>Sport</v>
      </c>
      <c r="J48" s="19">
        <v>4.7</v>
      </c>
      <c r="K48" s="11">
        <f>COUNTIFS(Movies[Final Score], "&lt;" &amp; J48, Movies[Final Score], "&gt;=" &amp; J47)
</f>
        <v>1</v>
      </c>
      <c r="S48" s="31">
        <f>IFERROR(__xludf.DUMMYFUNCTION("""COMPUTED_VALUE"""),45891.0)</f>
        <v>45891</v>
      </c>
      <c r="T48" s="34">
        <f>COUNTIF(Movies!N:N, S48)</f>
        <v>1</v>
      </c>
      <c r="U48" s="11">
        <f t="shared" si="2"/>
        <v>186</v>
      </c>
      <c r="W48" s="51">
        <f>IFERROR(__xludf.DUMMYFUNCTION("""COMPUTED_VALUE"""),38296.0)</f>
        <v>38296</v>
      </c>
      <c r="X48" s="40">
        <f>IFERROR(__xludf.DUMMYFUNCTION("FILTER(
  Movies!F48:F1000,
  DATEVALUE(Movies!B48:B1000) = W48
)
"),6.983333333333333)</f>
        <v>6.983333333</v>
      </c>
      <c r="Y48" s="5"/>
      <c r="Z48" s="5"/>
      <c r="AA48" s="5"/>
      <c r="AB48" s="5"/>
    </row>
    <row r="49">
      <c r="B49" s="11" t="str">
        <f>Movies!C49</f>
        <v>Action, Biography, Drama</v>
      </c>
      <c r="C49" s="11" t="str">
        <f>IFERROR(__xludf.DUMMYFUNCTION("ARRAYFORMULA(TRIM(SPLIT(B49, "","")))
"),"Action")</f>
        <v>Action</v>
      </c>
      <c r="D49" s="11" t="str">
        <f>IFERROR(__xludf.DUMMYFUNCTION("""COMPUTED_VALUE"""),"Biography")</f>
        <v>Biography</v>
      </c>
      <c r="E49" s="11" t="str">
        <f>IFERROR(__xludf.DUMMYFUNCTION("""COMPUTED_VALUE"""),"Drama")</f>
        <v>Drama</v>
      </c>
      <c r="J49" s="19">
        <v>4.8</v>
      </c>
      <c r="K49" s="11">
        <f>COUNTIFS(Movies[Final Score], "&lt;" &amp; J49, Movies[Final Score], "&gt;=" &amp; J48)
</f>
        <v>1</v>
      </c>
      <c r="S49" s="31">
        <f>IFERROR(__xludf.DUMMYFUNCTION("""COMPUTED_VALUE"""),45892.0)</f>
        <v>45892</v>
      </c>
      <c r="T49" s="34">
        <f>COUNTIF(Movies!N:N, S49)</f>
        <v>2</v>
      </c>
      <c r="U49" s="11">
        <f t="shared" si="2"/>
        <v>188</v>
      </c>
      <c r="W49" s="51">
        <f>IFERROR(__xludf.DUMMYFUNCTION("""COMPUTED_VALUE"""),38331.0)</f>
        <v>38331</v>
      </c>
      <c r="X49" s="40">
        <f>IFERROR(__xludf.DUMMYFUNCTION("FILTER(
  Movies!F49:F1000,
  DATEVALUE(Movies!B49:B1000) = W49
)
"),7.8)</f>
        <v>7.8</v>
      </c>
      <c r="Y49" s="5"/>
      <c r="Z49" s="5"/>
      <c r="AA49" s="5"/>
      <c r="AB49" s="5"/>
    </row>
    <row r="50">
      <c r="B50" s="11" t="str">
        <f>Movies!C50</f>
        <v>Action, Comedy, Sci-Fi</v>
      </c>
      <c r="C50" s="11" t="str">
        <f>IFERROR(__xludf.DUMMYFUNCTION("ARRAYFORMULA(TRIM(SPLIT(B50, "","")))
"),"Action")</f>
        <v>Action</v>
      </c>
      <c r="D50" s="11" t="str">
        <f>IFERROR(__xludf.DUMMYFUNCTION("""COMPUTED_VALUE"""),"Comedy")</f>
        <v>Comedy</v>
      </c>
      <c r="E50" s="11" t="str">
        <f>IFERROR(__xludf.DUMMYFUNCTION("""COMPUTED_VALUE"""),"Sci-Fi")</f>
        <v>Sci-Fi</v>
      </c>
      <c r="J50" s="19">
        <v>4.9</v>
      </c>
      <c r="K50" s="11">
        <f>COUNTIFS(Movies[Final Score], "&lt;" &amp; J50, Movies[Final Score], "&gt;=" &amp; J49)
</f>
        <v>2</v>
      </c>
      <c r="S50" s="31">
        <f>IFERROR(__xludf.DUMMYFUNCTION("""COMPUTED_VALUE"""),45899.0)</f>
        <v>45899</v>
      </c>
      <c r="T50" s="34">
        <f>COUNTIF(Movies!N:N, S50)</f>
        <v>1</v>
      </c>
      <c r="U50" s="11">
        <f t="shared" si="2"/>
        <v>189</v>
      </c>
      <c r="W50" s="51">
        <f>IFERROR(__xludf.DUMMYFUNCTION("""COMPUTED_VALUE"""),38518.0)</f>
        <v>38518</v>
      </c>
      <c r="X50" s="40">
        <f>IFERROR(__xludf.DUMMYFUNCTION("FILTER(
  Movies!F50:F1000,
  DATEVALUE(Movies!B50:B1000) = W50
)
"),8.116666666666667)</f>
        <v>8.116666667</v>
      </c>
      <c r="Y50" s="5"/>
      <c r="Z50" s="5"/>
      <c r="AA50" s="5"/>
      <c r="AB50" s="5"/>
    </row>
    <row r="51">
      <c r="B51" s="11" t="str">
        <f>Movies!C51</f>
        <v>Action, Sci-Fi, Thriller</v>
      </c>
      <c r="C51" s="11" t="str">
        <f>IFERROR(__xludf.DUMMYFUNCTION("ARRAYFORMULA(TRIM(SPLIT(B51, "","")))
"),"Action")</f>
        <v>Action</v>
      </c>
      <c r="D51" s="11" t="str">
        <f>IFERROR(__xludf.DUMMYFUNCTION("""COMPUTED_VALUE"""),"Sci-Fi")</f>
        <v>Sci-Fi</v>
      </c>
      <c r="E51" s="11" t="str">
        <f>IFERROR(__xludf.DUMMYFUNCTION("""COMPUTED_VALUE"""),"Thriller")</f>
        <v>Thriller</v>
      </c>
      <c r="J51" s="19">
        <v>5.0</v>
      </c>
      <c r="K51" s="11">
        <f>COUNTIFS(Movies[Final Score], "&lt;" &amp; J51, Movies[Final Score], "&gt;=" &amp; J50)
</f>
        <v>2</v>
      </c>
      <c r="S51" s="31">
        <f>IFERROR(__xludf.DUMMYFUNCTION("""COMPUTED_VALUE"""),45908.0)</f>
        <v>45908</v>
      </c>
      <c r="T51" s="34">
        <f>COUNTIF(Movies!N:N, S51)</f>
        <v>1</v>
      </c>
      <c r="U51" s="11">
        <f t="shared" si="2"/>
        <v>190</v>
      </c>
      <c r="W51" s="51">
        <f>IFERROR(__xludf.DUMMYFUNCTION("""COMPUTED_VALUE"""),38674.0)</f>
        <v>38674</v>
      </c>
      <c r="X51" s="40">
        <f>IFERROR(__xludf.DUMMYFUNCTION("FILTER(
  Movies!F51:F1000,
  DATEVALUE(Movies!B51:B1000) = W51
)
"),7.933333333333334)</f>
        <v>7.933333333</v>
      </c>
      <c r="Y51" s="5"/>
      <c r="Z51" s="5"/>
      <c r="AA51" s="5"/>
      <c r="AB51" s="5"/>
    </row>
    <row r="52">
      <c r="B52" s="11" t="str">
        <f>Movies!C52</f>
        <v>Action, Crime, Thriller</v>
      </c>
      <c r="C52" s="11" t="str">
        <f>IFERROR(__xludf.DUMMYFUNCTION("ARRAYFORMULA(TRIM(SPLIT(B52, "","")))
"),"Action")</f>
        <v>Action</v>
      </c>
      <c r="D52" s="11" t="str">
        <f>IFERROR(__xludf.DUMMYFUNCTION("""COMPUTED_VALUE"""),"Crime")</f>
        <v>Crime</v>
      </c>
      <c r="E52" s="11" t="str">
        <f>IFERROR(__xludf.DUMMYFUNCTION("""COMPUTED_VALUE"""),"Thriller")</f>
        <v>Thriller</v>
      </c>
      <c r="J52" s="19">
        <v>5.1</v>
      </c>
      <c r="K52" s="11">
        <f>COUNTIFS(Movies[Final Score], "&lt;" &amp; J52, Movies[Final Score], "&gt;=" &amp; J51)
</f>
        <v>1</v>
      </c>
      <c r="S52" s="31">
        <f>IFERROR(__xludf.DUMMYFUNCTION("""COMPUTED_VALUE"""),45909.0)</f>
        <v>45909</v>
      </c>
      <c r="T52" s="34">
        <f>COUNTIF(Movies!N:N, S52)</f>
        <v>1</v>
      </c>
      <c r="U52" s="11">
        <f t="shared" si="2"/>
        <v>191</v>
      </c>
      <c r="W52" s="51">
        <f>IFERROR(__xludf.DUMMYFUNCTION("""COMPUTED_VALUE"""),38737.0)</f>
        <v>38737</v>
      </c>
      <c r="X52" s="40">
        <f>IFERROR(__xludf.DUMMYFUNCTION("FILTER(
  Movies!F52:F1000,
  DATEVALUE(Movies!B52:B1000) = W52
)
"),6.266666666666667)</f>
        <v>6.266666667</v>
      </c>
      <c r="Y52" s="5"/>
      <c r="Z52" s="5"/>
      <c r="AA52" s="5"/>
      <c r="AB52" s="5"/>
    </row>
    <row r="53">
      <c r="B53" s="11" t="str">
        <f>Movies!C53</f>
        <v>Action, Sci-Fi</v>
      </c>
      <c r="C53" s="11" t="str">
        <f>IFERROR(__xludf.DUMMYFUNCTION("ARRAYFORMULA(TRIM(SPLIT(B53, "","")))
"),"Action")</f>
        <v>Action</v>
      </c>
      <c r="D53" s="11" t="str">
        <f>IFERROR(__xludf.DUMMYFUNCTION("""COMPUTED_VALUE"""),"Sci-Fi")</f>
        <v>Sci-Fi</v>
      </c>
      <c r="J53" s="19">
        <v>5.2</v>
      </c>
      <c r="K53" s="11">
        <f>COUNTIFS(Movies[Final Score], "&lt;" &amp; J53, Movies[Final Score], "&gt;=" &amp; J52)
</f>
        <v>2</v>
      </c>
      <c r="S53" s="31">
        <f>IFERROR(__xludf.DUMMYFUNCTION("""COMPUTED_VALUE"""),45912.0)</f>
        <v>45912</v>
      </c>
      <c r="T53" s="34">
        <f>COUNTIF(Movies!N:N, S53)</f>
        <v>1</v>
      </c>
      <c r="U53" s="11">
        <f t="shared" si="2"/>
        <v>192</v>
      </c>
      <c r="W53" s="51">
        <f>IFERROR(__xludf.DUMMYFUNCTION("""COMPUTED_VALUE"""),38758.0)</f>
        <v>38758</v>
      </c>
      <c r="X53" s="40">
        <f>IFERROR(__xludf.DUMMYFUNCTION("FILTER(
  Movies!F53:F1000,
  DATEVALUE(Movies!B53:B1000) = W53
)
"),6.616666666666667)</f>
        <v>6.616666667</v>
      </c>
      <c r="Y53" s="5"/>
      <c r="Z53" s="5"/>
      <c r="AA53" s="5"/>
      <c r="AB53" s="5"/>
    </row>
    <row r="54">
      <c r="B54" s="11" t="str">
        <f>Movies!C54</f>
        <v>Action, Adventure, Comedy</v>
      </c>
      <c r="C54" s="11" t="str">
        <f>IFERROR(__xludf.DUMMYFUNCTION("ARRAYFORMULA(TRIM(SPLIT(B54, "","")))
"),"Action")</f>
        <v>Action</v>
      </c>
      <c r="D54" s="11" t="str">
        <f>IFERROR(__xludf.DUMMYFUNCTION("""COMPUTED_VALUE"""),"Adventure")</f>
        <v>Adventure</v>
      </c>
      <c r="E54" s="11" t="str">
        <f>IFERROR(__xludf.DUMMYFUNCTION("""COMPUTED_VALUE"""),"Comedy")</f>
        <v>Comedy</v>
      </c>
      <c r="J54" s="19">
        <v>5.3</v>
      </c>
      <c r="K54" s="11">
        <f>COUNTIFS(Movies[Final Score], "&lt;" &amp; J54, Movies[Final Score], "&gt;=" &amp; J53)
</f>
        <v>3</v>
      </c>
      <c r="S54" s="31">
        <f>IFERROR(__xludf.DUMMYFUNCTION("""COMPUTED_VALUE"""),45918.0)</f>
        <v>45918</v>
      </c>
      <c r="T54" s="34">
        <f>COUNTIF(Movies!N:N, S54)</f>
        <v>1</v>
      </c>
      <c r="U54" s="11">
        <f t="shared" si="2"/>
        <v>193</v>
      </c>
      <c r="W54" s="51">
        <f>IFERROR(__xludf.DUMMYFUNCTION("""COMPUTED_VALUE"""),38877.0)</f>
        <v>38877</v>
      </c>
      <c r="X54" s="40">
        <f>IFERROR(__xludf.DUMMYFUNCTION("FILTER(
  Movies!F54:F1000,
  DATEVALUE(Movies!B54:B1000) = W54
)
"),8.133333333333333)</f>
        <v>8.133333333</v>
      </c>
      <c r="Y54" s="5"/>
      <c r="Z54" s="5"/>
      <c r="AA54" s="5"/>
      <c r="AB54" s="5"/>
    </row>
    <row r="55">
      <c r="B55" s="11" t="str">
        <f>Movies!C55</f>
        <v>Action, Adventure, Sci-Fi</v>
      </c>
      <c r="C55" s="11" t="str">
        <f>IFERROR(__xludf.DUMMYFUNCTION("ARRAYFORMULA(TRIM(SPLIT(B55, "","")))
"),"Action")</f>
        <v>Action</v>
      </c>
      <c r="D55" s="11" t="str">
        <f>IFERROR(__xludf.DUMMYFUNCTION("""COMPUTED_VALUE"""),"Adventure")</f>
        <v>Adventure</v>
      </c>
      <c r="E55" s="11" t="str">
        <f>IFERROR(__xludf.DUMMYFUNCTION("""COMPUTED_VALUE"""),"Sci-Fi")</f>
        <v>Sci-Fi</v>
      </c>
      <c r="J55" s="19">
        <v>5.4</v>
      </c>
      <c r="K55" s="11">
        <f>COUNTIFS(Movies[Final Score], "&lt;" &amp; J55, Movies[Final Score], "&gt;=" &amp; J54)
</f>
        <v>1</v>
      </c>
      <c r="S55" s="31">
        <f>IFERROR(__xludf.DUMMYFUNCTION("""COMPUTED_VALUE"""),45919.0)</f>
        <v>45919</v>
      </c>
      <c r="T55" s="34">
        <f>COUNTIF(Movies!N:N, S55)</f>
        <v>1</v>
      </c>
      <c r="U55" s="11">
        <f t="shared" si="2"/>
        <v>194</v>
      </c>
      <c r="W55" s="51">
        <f>IFERROR(__xludf.DUMMYFUNCTION("""COMPUTED_VALUE"""),38926.0)</f>
        <v>38926</v>
      </c>
      <c r="X55" s="40">
        <f>IFERROR(__xludf.DUMMYFUNCTION("FILTER(
  Movies!F55:F1000,
  DATEVALUE(Movies!B55:B1000) = W55
)
"),7.0)</f>
        <v>7</v>
      </c>
      <c r="Y55" s="5"/>
      <c r="Z55" s="5"/>
      <c r="AA55" s="5"/>
      <c r="AB55" s="5"/>
    </row>
    <row r="56">
      <c r="B56" s="11" t="str">
        <f>Movies!C56</f>
        <v>Drama, Romance</v>
      </c>
      <c r="C56" s="11" t="str">
        <f>IFERROR(__xludf.DUMMYFUNCTION("ARRAYFORMULA(TRIM(SPLIT(B56, "","")))
"),"Drama")</f>
        <v>Drama</v>
      </c>
      <c r="D56" s="11" t="str">
        <f>IFERROR(__xludf.DUMMYFUNCTION("""COMPUTED_VALUE"""),"Romance")</f>
        <v>Romance</v>
      </c>
      <c r="J56" s="19">
        <v>5.5</v>
      </c>
      <c r="K56" s="11">
        <f>COUNTIFS(Movies[Final Score], "&lt;" &amp; J56, Movies[Final Score], "&gt;=" &amp; J55)
</f>
        <v>2</v>
      </c>
      <c r="S56" s="31">
        <f>IFERROR(__xludf.DUMMYFUNCTION("""COMPUTED_VALUE"""),45920.0)</f>
        <v>45920</v>
      </c>
      <c r="T56" s="34">
        <f>COUNTIF(Movies!N:N, S56)</f>
        <v>1</v>
      </c>
      <c r="U56" s="11">
        <f t="shared" si="2"/>
        <v>195</v>
      </c>
      <c r="W56" s="51">
        <f>IFERROR(__xludf.DUMMYFUNCTION("""COMPUTED_VALUE"""),38947.0)</f>
        <v>38947</v>
      </c>
      <c r="X56" s="40">
        <f>IFERROR(__xludf.DUMMYFUNCTION("FILTER(
  Movies!F56:F1000,
  DATEVALUE(Movies!B56:B1000) = W56
)
"),6.433333333333334)</f>
        <v>6.433333333</v>
      </c>
      <c r="Y56" s="5"/>
      <c r="Z56" s="5"/>
      <c r="AA56" s="5"/>
      <c r="AB56" s="5"/>
    </row>
    <row r="57">
      <c r="B57" s="11" t="str">
        <f>Movies!C57</f>
        <v>Action, Adventure, Fantasy</v>
      </c>
      <c r="C57" s="11" t="str">
        <f>IFERROR(__xludf.DUMMYFUNCTION("ARRAYFORMULA(TRIM(SPLIT(B57, "","")))
"),"Action")</f>
        <v>Action</v>
      </c>
      <c r="D57" s="11" t="str">
        <f>IFERROR(__xludf.DUMMYFUNCTION("""COMPUTED_VALUE"""),"Adventure")</f>
        <v>Adventure</v>
      </c>
      <c r="E57" s="11" t="str">
        <f>IFERROR(__xludf.DUMMYFUNCTION("""COMPUTED_VALUE"""),"Fantasy")</f>
        <v>Fantasy</v>
      </c>
      <c r="J57" s="19">
        <v>5.6</v>
      </c>
      <c r="K57" s="11">
        <f>COUNTIFS(Movies[Final Score], "&lt;" &amp; J57, Movies[Final Score], "&gt;=" &amp; J56)
</f>
        <v>5</v>
      </c>
      <c r="S57" s="31">
        <f>IFERROR(__xludf.DUMMYFUNCTION("""COMPUTED_VALUE"""),45925.0)</f>
        <v>45925</v>
      </c>
      <c r="T57" s="34">
        <f>COUNTIF(Movies!N:N, S57)</f>
        <v>3</v>
      </c>
      <c r="U57" s="11">
        <f t="shared" si="2"/>
        <v>198</v>
      </c>
      <c r="W57" s="51">
        <f>IFERROR(__xludf.DUMMYFUNCTION("""COMPUTED_VALUE"""),39010.0)</f>
        <v>39010</v>
      </c>
      <c r="X57" s="5" t="str">
        <f>IFERROR(__xludf.DUMMYFUNCTION("FILTER(
  Movies!F57:F1000,
  DATEVALUE(Movies!B57:B1000) = W57
)
"),"#N/A")</f>
        <v>#N/A</v>
      </c>
      <c r="Y57" s="5"/>
      <c r="Z57" s="5"/>
      <c r="AA57" s="5"/>
      <c r="AB57" s="5"/>
    </row>
    <row r="58">
      <c r="B58" s="11" t="str">
        <f>Movies!C58</f>
        <v>Action, Adventure, Sci-Fi</v>
      </c>
      <c r="C58" s="11" t="str">
        <f>IFERROR(__xludf.DUMMYFUNCTION("ARRAYFORMULA(TRIM(SPLIT(B58, "","")))
"),"Action")</f>
        <v>Action</v>
      </c>
      <c r="D58" s="11" t="str">
        <f>IFERROR(__xludf.DUMMYFUNCTION("""COMPUTED_VALUE"""),"Adventure")</f>
        <v>Adventure</v>
      </c>
      <c r="E58" s="11" t="str">
        <f>IFERROR(__xludf.DUMMYFUNCTION("""COMPUTED_VALUE"""),"Sci-Fi")</f>
        <v>Sci-Fi</v>
      </c>
      <c r="J58" s="19">
        <v>5.7</v>
      </c>
      <c r="K58" s="11">
        <f>COUNTIFS(Movies[Final Score], "&lt;" &amp; J58, Movies[Final Score], "&gt;=" &amp; J57)
</f>
        <v>2</v>
      </c>
      <c r="S58" s="31">
        <f>IFERROR(__xludf.DUMMYFUNCTION("""COMPUTED_VALUE"""),45930.0)</f>
        <v>45930</v>
      </c>
      <c r="T58" s="34">
        <f>COUNTIF(Movies!N:N, S58)</f>
        <v>1</v>
      </c>
      <c r="U58" s="11">
        <f t="shared" si="2"/>
        <v>199</v>
      </c>
      <c r="W58" s="51">
        <f>IFERROR(__xludf.DUMMYFUNCTION("""COMPUTED_VALUE"""),39024.0)</f>
        <v>39024</v>
      </c>
      <c r="X58" s="40">
        <f>IFERROR(__xludf.DUMMYFUNCTION("FILTER(
  Movies!F58:F1000,
  DATEVALUE(Movies!B58:B1000) = W58
)
"),6.533333333333334)</f>
        <v>6.533333333</v>
      </c>
      <c r="Y58" s="5"/>
      <c r="Z58" s="5"/>
      <c r="AA58" s="5"/>
      <c r="AB58" s="5"/>
    </row>
    <row r="59">
      <c r="B59" s="11" t="str">
        <f>Movies!C59</f>
        <v>Fantasy, Adventure</v>
      </c>
      <c r="C59" s="11" t="str">
        <f>IFERROR(__xludf.DUMMYFUNCTION("ARRAYFORMULA(TRIM(SPLIT(B59, "","")))
"),"Fantasy")</f>
        <v>Fantasy</v>
      </c>
      <c r="D59" s="11" t="str">
        <f>IFERROR(__xludf.DUMMYFUNCTION("""COMPUTED_VALUE"""),"Adventure")</f>
        <v>Adventure</v>
      </c>
      <c r="J59" s="19">
        <v>5.8</v>
      </c>
      <c r="K59" s="11">
        <f>COUNTIFS(Movies[Final Score], "&lt;" &amp; J59, Movies[Final Score], "&gt;=" &amp; J58)
</f>
        <v>4</v>
      </c>
      <c r="S59" s="31">
        <f>IFERROR(__xludf.DUMMYFUNCTION("""COMPUTED_VALUE"""),45933.0)</f>
        <v>45933</v>
      </c>
      <c r="T59" s="34">
        <f>COUNTIF(Movies!N:N, S59)</f>
        <v>1</v>
      </c>
      <c r="U59" s="11">
        <f t="shared" si="2"/>
        <v>200</v>
      </c>
      <c r="W59" s="51">
        <f>IFERROR(__xludf.DUMMYFUNCTION("""COMPUTED_VALUE"""),39038.0)</f>
        <v>39038</v>
      </c>
      <c r="X59" s="40">
        <f>IFERROR(__xludf.DUMMYFUNCTION("FILTER(
  Movies!F59:F1000,
  DATEVALUE(Movies!B59:B1000) = W59
)
"),8.033333333333333)</f>
        <v>8.033333333</v>
      </c>
      <c r="Y59" s="5"/>
      <c r="Z59" s="5"/>
      <c r="AA59" s="5"/>
      <c r="AB59" s="5"/>
    </row>
    <row r="60">
      <c r="B60" s="11" t="str">
        <f>Movies!C60</f>
        <v>Biography, Crime, Drama</v>
      </c>
      <c r="C60" s="11" t="str">
        <f>IFERROR(__xludf.DUMMYFUNCTION("ARRAYFORMULA(TRIM(SPLIT(B60, "","")))
"),"Biography")</f>
        <v>Biography</v>
      </c>
      <c r="D60" s="11" t="str">
        <f>IFERROR(__xludf.DUMMYFUNCTION("""COMPUTED_VALUE"""),"Crime")</f>
        <v>Crime</v>
      </c>
      <c r="E60" s="11" t="str">
        <f>IFERROR(__xludf.DUMMYFUNCTION("""COMPUTED_VALUE"""),"Drama")</f>
        <v>Drama</v>
      </c>
      <c r="J60" s="19">
        <v>5.9</v>
      </c>
      <c r="K60" s="11">
        <f>COUNTIFS(Movies[Final Score], "&lt;" &amp; J60, Movies[Final Score], "&gt;=" &amp; J59)
</f>
        <v>5</v>
      </c>
      <c r="S60" s="31">
        <f>IFERROR(__xludf.DUMMYFUNCTION("""COMPUTED_VALUE"""),45944.0)</f>
        <v>45944</v>
      </c>
      <c r="T60" s="34">
        <f>COUNTIF(Movies!N:N, S60)</f>
        <v>1</v>
      </c>
      <c r="U60" s="11">
        <f t="shared" si="2"/>
        <v>201</v>
      </c>
      <c r="W60" s="51">
        <f>IFERROR(__xludf.DUMMYFUNCTION("""COMPUTED_VALUE"""),39150.0)</f>
        <v>39150</v>
      </c>
      <c r="X60" s="40">
        <f>IFERROR(__xludf.DUMMYFUNCTION("FILTER(
  Movies!F60:F1000,
  DATEVALUE(Movies!B60:B1000) = W60
)
"),7.866666666666667)</f>
        <v>7.866666667</v>
      </c>
      <c r="Y60" s="5"/>
      <c r="Z60" s="5"/>
      <c r="AA60" s="5"/>
      <c r="AB60" s="5"/>
    </row>
    <row r="61">
      <c r="B61" s="11" t="str">
        <f>Movies!C61</f>
        <v>Action, Drama, History</v>
      </c>
      <c r="C61" s="11" t="str">
        <f>IFERROR(__xludf.DUMMYFUNCTION("ARRAYFORMULA(TRIM(SPLIT(B61, "","")))
"),"Action")</f>
        <v>Action</v>
      </c>
      <c r="D61" s="11" t="str">
        <f>IFERROR(__xludf.DUMMYFUNCTION("""COMPUTED_VALUE"""),"Drama")</f>
        <v>Drama</v>
      </c>
      <c r="E61" s="11" t="str">
        <f>IFERROR(__xludf.DUMMYFUNCTION("""COMPUTED_VALUE"""),"History")</f>
        <v>History</v>
      </c>
      <c r="J61" s="19">
        <v>6.0</v>
      </c>
      <c r="K61" s="11">
        <f>COUNTIFS(Movies[Final Score], "&lt;" &amp; J61, Movies[Final Score], "&gt;=" &amp; J60)
</f>
        <v>5</v>
      </c>
      <c r="S61" s="31">
        <f>IFERROR(__xludf.DUMMYFUNCTION("""COMPUTED_VALUE"""),45948.0)</f>
        <v>45948</v>
      </c>
      <c r="T61" s="34">
        <f>COUNTIF(Movies!N:N, S61)</f>
        <v>2</v>
      </c>
      <c r="U61" s="11">
        <f t="shared" si="2"/>
        <v>203</v>
      </c>
      <c r="W61" s="51">
        <f>IFERROR(__xludf.DUMMYFUNCTION("""COMPUTED_VALUE"""),39206.0)</f>
        <v>39206</v>
      </c>
      <c r="X61" s="40">
        <f>IFERROR(__xludf.DUMMYFUNCTION("FILTER(
  Movies!F61:F1000,
  DATEVALUE(Movies!B61:B1000) = W61
)
"),6.816666666666667)</f>
        <v>6.816666667</v>
      </c>
      <c r="Y61" s="5"/>
      <c r="Z61" s="5"/>
      <c r="AA61" s="5"/>
      <c r="AB61" s="5"/>
    </row>
    <row r="62">
      <c r="B62" s="11" t="str">
        <f>Movies!C62</f>
        <v>Drama, Mystery, Sci-Fi</v>
      </c>
      <c r="C62" s="11" t="str">
        <f>IFERROR(__xludf.DUMMYFUNCTION("ARRAYFORMULA(TRIM(SPLIT(B62, "","")))
"),"Drama")</f>
        <v>Drama</v>
      </c>
      <c r="D62" s="11" t="str">
        <f>IFERROR(__xludf.DUMMYFUNCTION("""COMPUTED_VALUE"""),"Mystery")</f>
        <v>Mystery</v>
      </c>
      <c r="E62" s="11" t="str">
        <f>IFERROR(__xludf.DUMMYFUNCTION("""COMPUTED_VALUE"""),"Sci-Fi")</f>
        <v>Sci-Fi</v>
      </c>
      <c r="J62" s="19">
        <v>6.1</v>
      </c>
      <c r="K62" s="11">
        <f>COUNTIFS(Movies[Final Score], "&lt;" &amp; J62, Movies[Final Score], "&gt;=" &amp; J61)
</f>
        <v>5</v>
      </c>
      <c r="S62" s="31">
        <f>IFERROR(__xludf.DUMMYFUNCTION("""COMPUTED_VALUE"""),45949.0)</f>
        <v>45949</v>
      </c>
      <c r="T62" s="34">
        <f>COUNTIF(Movies!N:N, S62)</f>
        <v>1</v>
      </c>
      <c r="U62" s="11">
        <f t="shared" si="2"/>
        <v>204</v>
      </c>
      <c r="W62" s="51">
        <f>IFERROR(__xludf.DUMMYFUNCTION("""COMPUTED_VALUE"""),39213.0)</f>
        <v>39213</v>
      </c>
      <c r="X62" s="40">
        <f>IFERROR(__xludf.DUMMYFUNCTION("FILTER(
  Movies!F62:F1000,
  DATEVALUE(Movies!B62:B1000) = W62
)
"),6.816666666666666)</f>
        <v>6.816666667</v>
      </c>
      <c r="Y62" s="5"/>
      <c r="Z62" s="5"/>
      <c r="AA62" s="5"/>
      <c r="AB62" s="5"/>
    </row>
    <row r="63">
      <c r="B63" s="11" t="str">
        <f>Movies!C63</f>
        <v>Action, Crime, Drama</v>
      </c>
      <c r="C63" s="11" t="str">
        <f>IFERROR(__xludf.DUMMYFUNCTION("ARRAYFORMULA(TRIM(SPLIT(B63, "","")))
"),"Action")</f>
        <v>Action</v>
      </c>
      <c r="D63" s="11" t="str">
        <f>IFERROR(__xludf.DUMMYFUNCTION("""COMPUTED_VALUE"""),"Crime")</f>
        <v>Crime</v>
      </c>
      <c r="E63" s="11" t="str">
        <f>IFERROR(__xludf.DUMMYFUNCTION("""COMPUTED_VALUE"""),"Drama")</f>
        <v>Drama</v>
      </c>
      <c r="J63" s="19">
        <v>6.2</v>
      </c>
      <c r="K63" s="11">
        <f>COUNTIFS(Movies[Final Score], "&lt;" &amp; J63, Movies[Final Score], "&gt;=" &amp; J62)
</f>
        <v>6</v>
      </c>
      <c r="S63" s="31">
        <f>IFERROR(__xludf.DUMMYFUNCTION("""COMPUTED_VALUE"""),45955.0)</f>
        <v>45955</v>
      </c>
      <c r="T63" s="34">
        <f>COUNTIF(Movies!N:N, S63)</f>
        <v>1</v>
      </c>
      <c r="U63" s="11">
        <f t="shared" si="2"/>
        <v>205</v>
      </c>
      <c r="W63" s="51">
        <f>IFERROR(__xludf.DUMMYFUNCTION("""COMPUTED_VALUE"""),39255.0)</f>
        <v>39255</v>
      </c>
      <c r="X63" s="40">
        <f>IFERROR(__xludf.DUMMYFUNCTION("FILTER(
  Movies!F63:F1000,
  DATEVALUE(Movies!B63:B1000) = W63
)
"),5.533333333333334)</f>
        <v>5.533333333</v>
      </c>
      <c r="Y63" s="5"/>
      <c r="Z63" s="5"/>
      <c r="AA63" s="5"/>
      <c r="AB63" s="5"/>
    </row>
    <row r="64">
      <c r="B64" s="11" t="str">
        <f>Movies!C64</f>
        <v>Action, Drama, War</v>
      </c>
      <c r="C64" s="11" t="str">
        <f>IFERROR(__xludf.DUMMYFUNCTION("ARRAYFORMULA(TRIM(SPLIT(B64, "","")))
"),"Action")</f>
        <v>Action</v>
      </c>
      <c r="D64" s="11" t="str">
        <f>IFERROR(__xludf.DUMMYFUNCTION("""COMPUTED_VALUE"""),"Drama")</f>
        <v>Drama</v>
      </c>
      <c r="E64" s="11" t="str">
        <f>IFERROR(__xludf.DUMMYFUNCTION("""COMPUTED_VALUE"""),"War")</f>
        <v>War</v>
      </c>
      <c r="J64" s="19">
        <v>6.3</v>
      </c>
      <c r="K64" s="11">
        <f>COUNTIFS(Movies[Final Score], "&lt;" &amp; J64, Movies[Final Score], "&gt;=" &amp; J63)
</f>
        <v>10</v>
      </c>
      <c r="S64" s="31">
        <f>IFERROR(__xludf.DUMMYFUNCTION("""COMPUTED_VALUE"""),45957.0)</f>
        <v>45957</v>
      </c>
      <c r="T64" s="34">
        <f>COUNTIF(Movies!N:N, S64)</f>
        <v>1</v>
      </c>
      <c r="U64" s="11">
        <f t="shared" si="2"/>
        <v>206</v>
      </c>
      <c r="W64" s="51">
        <f>IFERROR(__xludf.DUMMYFUNCTION("""COMPUTED_VALUE"""),39262.0)</f>
        <v>39262</v>
      </c>
      <c r="X64" s="40">
        <f>IFERROR(__xludf.DUMMYFUNCTION("FILTER(
  Movies!F64:F1000,
  DATEVALUE(Movies!B64:B1000) = W64
)
"),8.05)</f>
        <v>8.05</v>
      </c>
      <c r="Y64" s="5"/>
      <c r="Z64" s="5"/>
      <c r="AA64" s="5"/>
      <c r="AB64" s="5"/>
    </row>
    <row r="65">
      <c r="B65" s="11" t="str">
        <f>Movies!C65</f>
        <v>Animation, Action, Adventure</v>
      </c>
      <c r="C65" s="11" t="str">
        <f>IFERROR(__xludf.DUMMYFUNCTION("ARRAYFORMULA(TRIM(SPLIT(B65, "","")))
"),"Animation")</f>
        <v>Animation</v>
      </c>
      <c r="D65" s="11" t="str">
        <f>IFERROR(__xludf.DUMMYFUNCTION("""COMPUTED_VALUE"""),"Action")</f>
        <v>Action</v>
      </c>
      <c r="E65" s="11" t="str">
        <f>IFERROR(__xludf.DUMMYFUNCTION("""COMPUTED_VALUE"""),"Adventure")</f>
        <v>Adventure</v>
      </c>
      <c r="J65" s="19">
        <v>6.4</v>
      </c>
      <c r="K65" s="11">
        <f>COUNTIFS(Movies[Final Score], "&lt;" &amp; J65, Movies[Final Score], "&gt;=" &amp; J64)
</f>
        <v>4</v>
      </c>
      <c r="S65" s="31">
        <f>IFERROR(__xludf.DUMMYFUNCTION("""COMPUTED_VALUE"""),45960.0)</f>
        <v>45960</v>
      </c>
      <c r="T65" s="34">
        <f>COUNTIF(Movies!N:N, S65)</f>
        <v>1</v>
      </c>
      <c r="U65" s="11">
        <f t="shared" si="2"/>
        <v>207</v>
      </c>
      <c r="W65" s="51">
        <f>IFERROR(__xludf.DUMMYFUNCTION("""COMPUTED_VALUE"""),39266.0)</f>
        <v>39266</v>
      </c>
      <c r="X65" s="40">
        <f>IFERROR(__xludf.DUMMYFUNCTION("FILTER(
  Movies!F65:F1000,
  DATEVALUE(Movies!B65:B1000) = W65
)
"),7.8)</f>
        <v>7.8</v>
      </c>
      <c r="Y65" s="5"/>
      <c r="Z65" s="5"/>
      <c r="AA65" s="5"/>
      <c r="AB65" s="5"/>
    </row>
    <row r="66">
      <c r="B66" s="11" t="str">
        <f>Movies!C66</f>
        <v>Action, Mystery, Sci-Fi</v>
      </c>
      <c r="C66" s="11" t="str">
        <f>IFERROR(__xludf.DUMMYFUNCTION("ARRAYFORMULA(TRIM(SPLIT(B66, "","")))
"),"Action")</f>
        <v>Action</v>
      </c>
      <c r="D66" s="11" t="str">
        <f>IFERROR(__xludf.DUMMYFUNCTION("""COMPUTED_VALUE"""),"Mystery")</f>
        <v>Mystery</v>
      </c>
      <c r="E66" s="11" t="str">
        <f>IFERROR(__xludf.DUMMYFUNCTION("""COMPUTED_VALUE"""),"Sci-Fi")</f>
        <v>Sci-Fi</v>
      </c>
      <c r="J66" s="19">
        <v>6.5</v>
      </c>
      <c r="K66" s="11">
        <f>COUNTIFS(Movies[Final Score], "&lt;" &amp; J66, Movies[Final Score], "&gt;=" &amp; J65)
</f>
        <v>5</v>
      </c>
      <c r="S66" s="31">
        <f>IFERROR(__xludf.DUMMYFUNCTION("""COMPUTED_VALUE"""),45965.0)</f>
        <v>45965</v>
      </c>
      <c r="T66" s="34">
        <f>COUNTIF(Movies!N:N, S66)</f>
        <v>1</v>
      </c>
      <c r="U66" s="11">
        <f t="shared" si="2"/>
        <v>208</v>
      </c>
      <c r="W66" s="51">
        <f>IFERROR(__xludf.DUMMYFUNCTION("""COMPUTED_VALUE"""),39274.0)</f>
        <v>39274</v>
      </c>
      <c r="X66" s="40">
        <f>IFERROR(__xludf.DUMMYFUNCTION("FILTER(
  Movies!F66:F1000,
  DATEVALUE(Movies!B66:B1000) = W66
)
"),7.8500000000000005)</f>
        <v>7.85</v>
      </c>
      <c r="Y66" s="5"/>
      <c r="Z66" s="5"/>
      <c r="AA66" s="5"/>
      <c r="AB66" s="5"/>
    </row>
    <row r="67">
      <c r="B67" s="11" t="str">
        <f>Movies!C67</f>
        <v>Action, Adventure, Sci-Fi</v>
      </c>
      <c r="C67" s="11" t="str">
        <f>IFERROR(__xludf.DUMMYFUNCTION("ARRAYFORMULA(TRIM(SPLIT(B67, "","")))
"),"Action")</f>
        <v>Action</v>
      </c>
      <c r="D67" s="11" t="str">
        <f>IFERROR(__xludf.DUMMYFUNCTION("""COMPUTED_VALUE"""),"Adventure")</f>
        <v>Adventure</v>
      </c>
      <c r="E67" s="11" t="str">
        <f>IFERROR(__xludf.DUMMYFUNCTION("""COMPUTED_VALUE"""),"Sci-Fi")</f>
        <v>Sci-Fi</v>
      </c>
      <c r="J67" s="19">
        <v>6.6</v>
      </c>
      <c r="K67" s="11">
        <f>COUNTIFS(Movies[Final Score], "&lt;" &amp; J67, Movies[Final Score], "&gt;=" &amp; J66)
</f>
        <v>4</v>
      </c>
      <c r="S67" s="31">
        <f>IFERROR(__xludf.DUMMYFUNCTION("""COMPUTED_VALUE"""),45968.0)</f>
        <v>45968</v>
      </c>
      <c r="T67" s="34">
        <f>COUNTIF(Movies!N:N, S67)</f>
        <v>1</v>
      </c>
      <c r="U67" s="11">
        <f t="shared" si="2"/>
        <v>209</v>
      </c>
      <c r="W67" s="51">
        <f>IFERROR(__xludf.DUMMYFUNCTION("""COMPUTED_VALUE"""),39290.0)</f>
        <v>39290</v>
      </c>
      <c r="X67" s="40">
        <f>IFERROR(__xludf.DUMMYFUNCTION("FILTER(
  Movies!F67:F1000,
  DATEVALUE(Movies!B67:B1000) = W67
)
"),6.699999999999999)</f>
        <v>6.7</v>
      </c>
      <c r="Y67" s="5"/>
      <c r="Z67" s="5"/>
      <c r="AA67" s="5"/>
      <c r="AB67" s="5"/>
    </row>
    <row r="68">
      <c r="B68" s="11" t="str">
        <f>Movies!C68</f>
        <v>Action, Drama, Sport</v>
      </c>
      <c r="C68" s="11" t="str">
        <f>IFERROR(__xludf.DUMMYFUNCTION("ARRAYFORMULA(TRIM(SPLIT(B68, "","")))
"),"Action")</f>
        <v>Action</v>
      </c>
      <c r="D68" s="11" t="str">
        <f>IFERROR(__xludf.DUMMYFUNCTION("""COMPUTED_VALUE"""),"Drama")</f>
        <v>Drama</v>
      </c>
      <c r="E68" s="11" t="str">
        <f>IFERROR(__xludf.DUMMYFUNCTION("""COMPUTED_VALUE"""),"Sport")</f>
        <v>Sport</v>
      </c>
      <c r="J68" s="19">
        <v>6.7</v>
      </c>
      <c r="K68" s="11">
        <f>COUNTIFS(Movies[Final Score], "&lt;" &amp; J68, Movies[Final Score], "&gt;=" &amp; J67)
</f>
        <v>7</v>
      </c>
      <c r="S68" s="31">
        <f>IFERROR(__xludf.DUMMYFUNCTION("""COMPUTED_VALUE"""),45973.0)</f>
        <v>45973</v>
      </c>
      <c r="T68" s="34">
        <f>COUNTIF(Movies!N:N, S68)</f>
        <v>1</v>
      </c>
      <c r="U68" s="11">
        <f t="shared" si="2"/>
        <v>210</v>
      </c>
      <c r="W68" s="51">
        <f>IFERROR(__xludf.DUMMYFUNCTION("""COMPUTED_VALUE"""),39297.0)</f>
        <v>39297</v>
      </c>
      <c r="X68" s="40">
        <f>IFERROR(__xludf.DUMMYFUNCTION("FILTER(
  Movies!F68:F1000,
  DATEVALUE(Movies!B68:B1000) = W68
)
"),7.833333333333335)</f>
        <v>7.833333333</v>
      </c>
      <c r="Y68" s="5"/>
      <c r="Z68" s="5"/>
      <c r="AA68" s="5"/>
      <c r="AB68" s="5"/>
    </row>
    <row r="69">
      <c r="B69" s="11" t="str">
        <f>Movies!C69</f>
        <v>Action, Adventure, Sci-Fi</v>
      </c>
      <c r="C69" s="11" t="str">
        <f>IFERROR(__xludf.DUMMYFUNCTION("ARRAYFORMULA(TRIM(SPLIT(B69, "","")))
"),"Action")</f>
        <v>Action</v>
      </c>
      <c r="D69" s="11" t="str">
        <f>IFERROR(__xludf.DUMMYFUNCTION("""COMPUTED_VALUE"""),"Adventure")</f>
        <v>Adventure</v>
      </c>
      <c r="E69" s="11" t="str">
        <f>IFERROR(__xludf.DUMMYFUNCTION("""COMPUTED_VALUE"""),"Sci-Fi")</f>
        <v>Sci-Fi</v>
      </c>
      <c r="J69" s="19">
        <v>6.8</v>
      </c>
      <c r="K69" s="11">
        <f>COUNTIFS(Movies[Final Score], "&lt;" &amp; J69, Movies[Final Score], "&gt;=" &amp; J68)
</f>
        <v>6</v>
      </c>
      <c r="S69" s="31">
        <f>IFERROR(__xludf.DUMMYFUNCTION("""COMPUTED_VALUE"""),45982.0)</f>
        <v>45982</v>
      </c>
      <c r="T69" s="34">
        <f>COUNTIF(Movies!N:N, S69)</f>
        <v>2</v>
      </c>
      <c r="U69" s="11">
        <f t="shared" si="2"/>
        <v>212</v>
      </c>
      <c r="W69" s="51">
        <f>IFERROR(__xludf.DUMMYFUNCTION("""COMPUTED_VALUE"""),39374.0)</f>
        <v>39374</v>
      </c>
      <c r="X69" s="40">
        <f>IFERROR(__xludf.DUMMYFUNCTION("FILTER(
  Movies!F69:F1000,
  DATEVALUE(Movies!B69:B1000) = W69
)
"),7.433333333333333)</f>
        <v>7.433333333</v>
      </c>
      <c r="Y69" s="5"/>
      <c r="Z69" s="5"/>
      <c r="AA69" s="5"/>
      <c r="AB69" s="5"/>
    </row>
    <row r="70">
      <c r="B70" s="11" t="str">
        <f>Movies!C70</f>
        <v>Action, Adventure, Comedy</v>
      </c>
      <c r="C70" s="11" t="str">
        <f>IFERROR(__xludf.DUMMYFUNCTION("ARRAYFORMULA(TRIM(SPLIT(B70, "","")))
"),"Action")</f>
        <v>Action</v>
      </c>
      <c r="D70" s="11" t="str">
        <f>IFERROR(__xludf.DUMMYFUNCTION("""COMPUTED_VALUE"""),"Adventure")</f>
        <v>Adventure</v>
      </c>
      <c r="E70" s="11" t="str">
        <f>IFERROR(__xludf.DUMMYFUNCTION("""COMPUTED_VALUE"""),"Comedy")</f>
        <v>Comedy</v>
      </c>
      <c r="J70" s="19">
        <v>6.9</v>
      </c>
      <c r="K70" s="11">
        <f>COUNTIFS(Movies[Final Score], "&lt;" &amp; J70, Movies[Final Score], "&gt;=" &amp; J69)
</f>
        <v>8</v>
      </c>
      <c r="S70" s="31">
        <f>IFERROR(__xludf.DUMMYFUNCTION("""COMPUTED_VALUE"""),45989.0)</f>
        <v>45989</v>
      </c>
      <c r="T70" s="34">
        <f>COUNTIF(Movies!N:N, S70)</f>
        <v>1</v>
      </c>
      <c r="U70" s="11">
        <f t="shared" si="2"/>
        <v>213</v>
      </c>
      <c r="W70" s="51">
        <f>IFERROR(__xludf.DUMMYFUNCTION("""COMPUTED_VALUE"""),39399.0)</f>
        <v>39399</v>
      </c>
      <c r="X70" s="40">
        <f>IFERROR(__xludf.DUMMYFUNCTION("FILTER(
  Movies!F70:F1000,
  DATEVALUE(Movies!B70:B1000) = W70
)
"),5.866666666666667)</f>
        <v>5.866666667</v>
      </c>
      <c r="Y70" s="5"/>
      <c r="Z70" s="5"/>
      <c r="AA70" s="5"/>
      <c r="AB70" s="5"/>
    </row>
    <row r="71">
      <c r="B71" s="11" t="str">
        <f>Movies!C71</f>
        <v>Drama, Mystery, Thriller</v>
      </c>
      <c r="C71" s="11" t="str">
        <f>IFERROR(__xludf.DUMMYFUNCTION("ARRAYFORMULA(TRIM(SPLIT(B71, "","")))
"),"Drama")</f>
        <v>Drama</v>
      </c>
      <c r="D71" s="11" t="str">
        <f>IFERROR(__xludf.DUMMYFUNCTION("""COMPUTED_VALUE"""),"Mystery")</f>
        <v>Mystery</v>
      </c>
      <c r="E71" s="11" t="str">
        <f>IFERROR(__xludf.DUMMYFUNCTION("""COMPUTED_VALUE"""),"Thriller")</f>
        <v>Thriller</v>
      </c>
      <c r="J71" s="19">
        <v>7.0</v>
      </c>
      <c r="K71" s="11">
        <f>COUNTIFS(Movies[Final Score], "&lt;" &amp; J71, Movies[Final Score], "&gt;=" &amp; J70)
</f>
        <v>9</v>
      </c>
      <c r="S71" s="31">
        <f>IFERROR(__xludf.DUMMYFUNCTION("""COMPUTED_VALUE"""),45992.0)</f>
        <v>45992</v>
      </c>
      <c r="T71" s="34">
        <f>COUNTIF(Movies!N:N, S71)</f>
        <v>1</v>
      </c>
      <c r="U71" s="11">
        <f t="shared" si="2"/>
        <v>214</v>
      </c>
      <c r="W71" s="51">
        <f>IFERROR(__xludf.DUMMYFUNCTION("""COMPUTED_VALUE"""),39407.0)</f>
        <v>39407</v>
      </c>
      <c r="X71" s="40">
        <f>IFERROR(__xludf.DUMMYFUNCTION("FILTER(
  Movies!F71:F1000,
  DATEVALUE(Movies!B71:B1000) = W71
)
"),7.966666666666666)</f>
        <v>7.966666667</v>
      </c>
      <c r="Y71" s="5"/>
      <c r="Z71" s="5"/>
      <c r="AA71" s="5"/>
      <c r="AB71" s="5"/>
    </row>
    <row r="72">
      <c r="B72" s="11" t="str">
        <f>Movies!C72</f>
        <v>Drama, Sci-Fi, Thriller</v>
      </c>
      <c r="C72" s="11" t="str">
        <f>IFERROR(__xludf.DUMMYFUNCTION("ARRAYFORMULA(TRIM(SPLIT(B72, "","")))
"),"Drama")</f>
        <v>Drama</v>
      </c>
      <c r="D72" s="11" t="str">
        <f>IFERROR(__xludf.DUMMYFUNCTION("""COMPUTED_VALUE"""),"Sci-Fi")</f>
        <v>Sci-Fi</v>
      </c>
      <c r="E72" s="11" t="str">
        <f>IFERROR(__xludf.DUMMYFUNCTION("""COMPUTED_VALUE"""),"Thriller")</f>
        <v>Thriller</v>
      </c>
      <c r="J72" s="19">
        <v>7.1</v>
      </c>
      <c r="K72" s="11">
        <f>COUNTIFS(Movies[Final Score], "&lt;" &amp; J72, Movies[Final Score], "&gt;=" &amp; J71)
</f>
        <v>13</v>
      </c>
      <c r="S72" s="31">
        <f>IFERROR(__xludf.DUMMYFUNCTION("""COMPUTED_VALUE"""),45996.0)</f>
        <v>45996</v>
      </c>
      <c r="T72" s="34">
        <f>COUNTIF(Movies!N:N, S72)</f>
        <v>1</v>
      </c>
      <c r="U72" s="11">
        <f t="shared" si="2"/>
        <v>215</v>
      </c>
      <c r="W72" s="51">
        <f>IFERROR(__xludf.DUMMYFUNCTION("""COMPUTED_VALUE"""),39430.0)</f>
        <v>39430</v>
      </c>
      <c r="X72" s="40">
        <f>IFERROR(__xludf.DUMMYFUNCTION("FILTER(
  Movies!F72:F1000,
  DATEVALUE(Movies!B72:B1000) = W72
)
"),6.5)</f>
        <v>6.5</v>
      </c>
      <c r="Y72" s="5"/>
      <c r="Z72" s="5"/>
      <c r="AA72" s="5"/>
      <c r="AB72" s="5"/>
    </row>
    <row r="73">
      <c r="B73" s="11" t="str">
        <f>Movies!C73</f>
        <v>Horror, Romance</v>
      </c>
      <c r="C73" s="11" t="str">
        <f>IFERROR(__xludf.DUMMYFUNCTION("ARRAYFORMULA(TRIM(SPLIT(B73, "","")))
"),"Horror")</f>
        <v>Horror</v>
      </c>
      <c r="D73" s="11" t="str">
        <f>IFERROR(__xludf.DUMMYFUNCTION("""COMPUTED_VALUE"""),"Romance")</f>
        <v>Romance</v>
      </c>
      <c r="J73" s="19">
        <v>7.2</v>
      </c>
      <c r="K73" s="11">
        <f>COUNTIFS(Movies[Final Score], "&lt;" &amp; J73, Movies[Final Score], "&gt;=" &amp; J72)
</f>
        <v>7</v>
      </c>
      <c r="S73" s="31">
        <f>IFERROR(__xludf.DUMMYFUNCTION("""COMPUTED_VALUE"""),45997.0)</f>
        <v>45997</v>
      </c>
      <c r="T73" s="34">
        <f>COUNTIF(Movies!N:N, S73)</f>
        <v>1</v>
      </c>
      <c r="U73" s="11">
        <f t="shared" si="2"/>
        <v>216</v>
      </c>
      <c r="W73" s="51">
        <f>IFERROR(__xludf.DUMMYFUNCTION("""COMPUTED_VALUE"""),39441.0)</f>
        <v>39441</v>
      </c>
      <c r="X73" s="40">
        <f>IFERROR(__xludf.DUMMYFUNCTION("FILTER(
  Movies!F73:F1000,
  DATEVALUE(Movies!B73:B1000) = W73
)
"),7.833333333333333)</f>
        <v>7.833333333</v>
      </c>
      <c r="Y73" s="5"/>
      <c r="Z73" s="5"/>
      <c r="AA73" s="5"/>
      <c r="AB73" s="5"/>
    </row>
    <row r="74">
      <c r="B74" s="11" t="str">
        <f>Movies!C74</f>
        <v>Comedy, Horror, Thriller</v>
      </c>
      <c r="C74" s="11" t="str">
        <f>IFERROR(__xludf.DUMMYFUNCTION("ARRAYFORMULA(TRIM(SPLIT(B74, "","")))
"),"Comedy")</f>
        <v>Comedy</v>
      </c>
      <c r="D74" s="11" t="str">
        <f>IFERROR(__xludf.DUMMYFUNCTION("""COMPUTED_VALUE"""),"Horror")</f>
        <v>Horror</v>
      </c>
      <c r="E74" s="11" t="str">
        <f>IFERROR(__xludf.DUMMYFUNCTION("""COMPUTED_VALUE"""),"Thriller")</f>
        <v>Thriller</v>
      </c>
      <c r="J74" s="19">
        <v>7.3</v>
      </c>
      <c r="K74" s="11">
        <f>COUNTIFS(Movies[Final Score], "&lt;" &amp; J74, Movies[Final Score], "&gt;=" &amp; J73)
</f>
        <v>8</v>
      </c>
      <c r="S74" s="31">
        <f>IFERROR(__xludf.DUMMYFUNCTION("""COMPUTED_VALUE"""),45998.0)</f>
        <v>45998</v>
      </c>
      <c r="T74" s="34">
        <f>COUNTIF(Movies!N:N, S74)</f>
        <v>1</v>
      </c>
      <c r="U74" s="11">
        <f t="shared" si="2"/>
        <v>217</v>
      </c>
      <c r="W74" s="51">
        <f>IFERROR(__xludf.DUMMYFUNCTION("""COMPUTED_VALUE"""),39507.0)</f>
        <v>39507</v>
      </c>
      <c r="X74" s="40">
        <f>IFERROR(__xludf.DUMMYFUNCTION("FILTER(
  Movies!F74:F1000,
  DATEVALUE(Movies!B74:B1000) = W74
)
"),6.166666666666667)</f>
        <v>6.166666667</v>
      </c>
      <c r="Y74" s="5"/>
      <c r="Z74" s="5"/>
      <c r="AA74" s="5"/>
      <c r="AB74" s="5"/>
    </row>
    <row r="75">
      <c r="B75" s="11" t="str">
        <f>Movies!C75</f>
        <v>Drama</v>
      </c>
      <c r="C75" s="11" t="str">
        <f>IFERROR(__xludf.DUMMYFUNCTION("ARRAYFORMULA(TRIM(SPLIT(B75, "","")))
"),"Drama")</f>
        <v>Drama</v>
      </c>
      <c r="J75" s="19">
        <v>7.4</v>
      </c>
      <c r="K75" s="11">
        <f>COUNTIFS(Movies[Final Score], "&lt;" &amp; J75, Movies[Final Score], "&gt;=" &amp; J74)
</f>
        <v>7</v>
      </c>
      <c r="S75" s="31">
        <f>IFERROR(__xludf.DUMMYFUNCTION("""COMPUTED_VALUE"""),45999.0)</f>
        <v>45999</v>
      </c>
      <c r="T75" s="34">
        <f>COUNTIF(Movies!N:N, S75)</f>
        <v>1</v>
      </c>
      <c r="U75" s="11">
        <f t="shared" si="2"/>
        <v>218</v>
      </c>
      <c r="W75" s="51">
        <f>IFERROR(__xludf.DUMMYFUNCTION("""COMPUTED_VALUE"""),39570.0)</f>
        <v>39570</v>
      </c>
      <c r="X75" s="40">
        <f>IFERROR(__xludf.DUMMYFUNCTION("FILTER(
  Movies!F75:F1000,
  DATEVALUE(Movies!B75:B1000) = W75
)
"),7.583333333333333)</f>
        <v>7.583333333</v>
      </c>
      <c r="Y75" s="5"/>
      <c r="Z75" s="5"/>
      <c r="AA75" s="5"/>
      <c r="AB75" s="5"/>
    </row>
    <row r="76">
      <c r="B76" s="11" t="str">
        <f>Movies!C76</f>
        <v>Action, Sci-Fi</v>
      </c>
      <c r="C76" s="11" t="str">
        <f>IFERROR(__xludf.DUMMYFUNCTION("ARRAYFORMULA(TRIM(SPLIT(B76, "","")))
"),"Action")</f>
        <v>Action</v>
      </c>
      <c r="D76" s="11" t="str">
        <f>IFERROR(__xludf.DUMMYFUNCTION("""COMPUTED_VALUE"""),"Sci-Fi")</f>
        <v>Sci-Fi</v>
      </c>
      <c r="J76" s="19">
        <v>7.5</v>
      </c>
      <c r="K76" s="11">
        <f>COUNTIFS(Movies[Final Score], "&lt;" &amp; J76, Movies[Final Score], "&gt;=" &amp; J75)
</f>
        <v>8</v>
      </c>
      <c r="S76" s="31">
        <f>IFERROR(__xludf.DUMMYFUNCTION("""COMPUTED_VALUE"""),46010.0)</f>
        <v>46010</v>
      </c>
      <c r="T76" s="34">
        <f>COUNTIF(Movies!N:N, S76)</f>
        <v>2</v>
      </c>
      <c r="U76" s="11">
        <f t="shared" si="2"/>
        <v>220</v>
      </c>
      <c r="W76" s="51">
        <f>IFERROR(__xludf.DUMMYFUNCTION("""COMPUTED_VALUE"""),39631.0)</f>
        <v>39631</v>
      </c>
      <c r="X76" s="40">
        <f>IFERROR(__xludf.DUMMYFUNCTION("FILTER(
  Movies!F76:F1000,
  DATEVALUE(Movies!B76:B1000) = W76
)
"),6.349999999999999)</f>
        <v>6.35</v>
      </c>
      <c r="Y76" s="5"/>
      <c r="Z76" s="5"/>
      <c r="AA76" s="5"/>
      <c r="AB76" s="5"/>
    </row>
    <row r="77">
      <c r="B77" s="11" t="str">
        <f>Movies!C77</f>
        <v>Action, Adventure, Sci-Fi</v>
      </c>
      <c r="C77" s="11" t="str">
        <f>IFERROR(__xludf.DUMMYFUNCTION("ARRAYFORMULA(TRIM(SPLIT(B77, "","")))
"),"Action")</f>
        <v>Action</v>
      </c>
      <c r="D77" s="11" t="str">
        <f>IFERROR(__xludf.DUMMYFUNCTION("""COMPUTED_VALUE"""),"Adventure")</f>
        <v>Adventure</v>
      </c>
      <c r="E77" s="11" t="str">
        <f>IFERROR(__xludf.DUMMYFUNCTION("""COMPUTED_VALUE"""),"Sci-Fi")</f>
        <v>Sci-Fi</v>
      </c>
      <c r="J77" s="19">
        <v>7.6</v>
      </c>
      <c r="K77" s="11">
        <f>COUNTIFS(Movies[Final Score], "&lt;" &amp; J77, Movies[Final Score], "&gt;=" &amp; J76)
</f>
        <v>7</v>
      </c>
      <c r="S77" s="31">
        <f>IFERROR(__xludf.DUMMYFUNCTION("""COMPUTED_VALUE"""),46012.0)</f>
        <v>46012</v>
      </c>
      <c r="T77" s="34">
        <f>COUNTIF(Movies!N:N, S77)</f>
        <v>1</v>
      </c>
      <c r="U77" s="11">
        <f t="shared" si="2"/>
        <v>221</v>
      </c>
      <c r="W77" s="51">
        <f>IFERROR(__xludf.DUMMYFUNCTION("""COMPUTED_VALUE"""),39647.0)</f>
        <v>39647</v>
      </c>
      <c r="X77" s="5" t="str">
        <f>IFERROR(__xludf.DUMMYFUNCTION("FILTER(
  Movies!F77:F1000,
  DATEVALUE(Movies!B77:B1000) = W77
)
"),"#N/A")</f>
        <v>#N/A</v>
      </c>
      <c r="Y77" s="5"/>
      <c r="Z77" s="5"/>
      <c r="AA77" s="5"/>
      <c r="AB77" s="5"/>
    </row>
    <row r="78">
      <c r="B78" s="11" t="str">
        <f>Movies!C78</f>
        <v>Adventure, Drama, Sci-Fi</v>
      </c>
      <c r="C78" s="11" t="str">
        <f>IFERROR(__xludf.DUMMYFUNCTION("ARRAYFORMULA(TRIM(SPLIT(B78, "","")))
"),"Adventure")</f>
        <v>Adventure</v>
      </c>
      <c r="D78" s="11" t="str">
        <f>IFERROR(__xludf.DUMMYFUNCTION("""COMPUTED_VALUE"""),"Drama")</f>
        <v>Drama</v>
      </c>
      <c r="E78" s="11" t="str">
        <f>IFERROR(__xludf.DUMMYFUNCTION("""COMPUTED_VALUE"""),"Sci-Fi")</f>
        <v>Sci-Fi</v>
      </c>
      <c r="J78" s="19">
        <v>7.7</v>
      </c>
      <c r="K78" s="11">
        <f>COUNTIFS(Movies[Final Score], "&lt;" &amp; J78, Movies[Final Score], "&gt;=" &amp; J77)
</f>
        <v>7</v>
      </c>
      <c r="S78" s="31">
        <f>IFERROR(__xludf.DUMMYFUNCTION("""COMPUTED_VALUE"""),46013.0)</f>
        <v>46013</v>
      </c>
      <c r="T78" s="34">
        <f>COUNTIF(Movies!N:N, S78)</f>
        <v>1</v>
      </c>
      <c r="U78" s="11">
        <f t="shared" si="2"/>
        <v>222</v>
      </c>
      <c r="W78" s="51">
        <f>IFERROR(__xludf.DUMMYFUNCTION("""COMPUTED_VALUE"""),39766.0)</f>
        <v>39766</v>
      </c>
      <c r="X78" s="40">
        <f>IFERROR(__xludf.DUMMYFUNCTION("FILTER(
  Movies!F78:F1000,
  DATEVALUE(Movies!B78:B1000) = W78
)
"),7.466666666666668)</f>
        <v>7.466666667</v>
      </c>
      <c r="Y78" s="5"/>
      <c r="Z78" s="5"/>
      <c r="AA78" s="5"/>
      <c r="AB78" s="5"/>
    </row>
    <row r="79">
      <c r="B79" s="11" t="str">
        <f>Movies!C79</f>
        <v>Animation, Adventure, Family</v>
      </c>
      <c r="C79" s="11" t="str">
        <f>IFERROR(__xludf.DUMMYFUNCTION("ARRAYFORMULA(TRIM(SPLIT(B79, "","")))
"),"Animation")</f>
        <v>Animation</v>
      </c>
      <c r="D79" s="11" t="str">
        <f>IFERROR(__xludf.DUMMYFUNCTION("""COMPUTED_VALUE"""),"Adventure")</f>
        <v>Adventure</v>
      </c>
      <c r="E79" s="11" t="str">
        <f>IFERROR(__xludf.DUMMYFUNCTION("""COMPUTED_VALUE"""),"Family")</f>
        <v>Family</v>
      </c>
      <c r="J79" s="19">
        <v>7.8</v>
      </c>
      <c r="K79" s="11">
        <f>COUNTIFS(Movies[Final Score], "&lt;" &amp; J79, Movies[Final Score], "&gt;=" &amp; J78)
</f>
        <v>6</v>
      </c>
      <c r="S79" s="31">
        <f>IFERROR(__xludf.DUMMYFUNCTION("""COMPUTED_VALUE"""),46023.0)</f>
        <v>46023</v>
      </c>
      <c r="T79" s="34">
        <f>COUNTIF(Movies!N:N, S79)</f>
        <v>1</v>
      </c>
      <c r="U79" s="11">
        <f t="shared" si="2"/>
        <v>223</v>
      </c>
      <c r="W79" s="51">
        <f>IFERROR(__xludf.DUMMYFUNCTION("""COMPUTED_VALUE"""),39836.0)</f>
        <v>39836</v>
      </c>
      <c r="X79" s="40">
        <f>IFERROR(__xludf.DUMMYFUNCTION("FILTER(
  Movies!F79:F1000,
  DATEVALUE(Movies!B79:B1000) = W79
)
"),5.516666666666666)</f>
        <v>5.516666667</v>
      </c>
      <c r="Y79" s="5"/>
      <c r="Z79" s="5"/>
      <c r="AA79" s="5"/>
      <c r="AB79" s="5"/>
    </row>
    <row r="80">
      <c r="B80" s="11" t="str">
        <f>Movies!C80</f>
        <v>Action, Adventure, Comedy</v>
      </c>
      <c r="C80" s="11" t="str">
        <f>IFERROR(__xludf.DUMMYFUNCTION("ARRAYFORMULA(TRIM(SPLIT(B80, "","")))
"),"Action")</f>
        <v>Action</v>
      </c>
      <c r="D80" s="11" t="str">
        <f>IFERROR(__xludf.DUMMYFUNCTION("""COMPUTED_VALUE"""),"Adventure")</f>
        <v>Adventure</v>
      </c>
      <c r="E80" s="11" t="str">
        <f>IFERROR(__xludf.DUMMYFUNCTION("""COMPUTED_VALUE"""),"Comedy")</f>
        <v>Comedy</v>
      </c>
      <c r="J80" s="19">
        <v>7.9</v>
      </c>
      <c r="K80" s="11">
        <f>COUNTIFS(Movies[Final Score], "&lt;" &amp; J80, Movies[Final Score], "&gt;=" &amp; J79)
</f>
        <v>19</v>
      </c>
      <c r="S80" s="31">
        <f>IFERROR(__xludf.DUMMYFUNCTION("""COMPUTED_VALUE"""),46027.0)</f>
        <v>46027</v>
      </c>
      <c r="T80" s="34">
        <f>COUNTIF(Movies!N:N, S80)</f>
        <v>4</v>
      </c>
      <c r="U80" s="11">
        <f t="shared" si="2"/>
        <v>227</v>
      </c>
      <c r="W80" s="51">
        <f>IFERROR(__xludf.DUMMYFUNCTION("""COMPUTED_VALUE"""),39988.0)</f>
        <v>39988</v>
      </c>
      <c r="X80" s="40">
        <f>IFERROR(__xludf.DUMMYFUNCTION("FILTER(
  Movies!F80:F1000,
  DATEVALUE(Movies!B80:B1000) = W80
)
"),6.9333333333333345)</f>
        <v>6.933333333</v>
      </c>
      <c r="Y80" s="5"/>
      <c r="Z80" s="5"/>
      <c r="AA80" s="5"/>
      <c r="AB80" s="5"/>
    </row>
    <row r="81">
      <c r="B81" s="11" t="str">
        <f>Movies!C81</f>
        <v>Action, Adventure, Thriller</v>
      </c>
      <c r="C81" s="11" t="str">
        <f>IFERROR(__xludf.DUMMYFUNCTION("ARRAYFORMULA(TRIM(SPLIT(B81, "","")))
"),"Action")</f>
        <v>Action</v>
      </c>
      <c r="D81" s="11" t="str">
        <f>IFERROR(__xludf.DUMMYFUNCTION("""COMPUTED_VALUE"""),"Adventure")</f>
        <v>Adventure</v>
      </c>
      <c r="E81" s="11" t="str">
        <f>IFERROR(__xludf.DUMMYFUNCTION("""COMPUTED_VALUE"""),"Thriller")</f>
        <v>Thriller</v>
      </c>
      <c r="J81" s="19">
        <v>8.0</v>
      </c>
      <c r="K81" s="11">
        <f>COUNTIFS(Movies[Final Score], "&lt;" &amp; J81, Movies[Final Score], "&gt;=" &amp; J80)
</f>
        <v>12</v>
      </c>
      <c r="S81" s="31">
        <f>IFERROR(__xludf.DUMMYFUNCTION("""COMPUTED_VALUE"""),46038.0)</f>
        <v>46038</v>
      </c>
      <c r="T81" s="34">
        <f>COUNTIF(Movies!N:N, S81)</f>
        <v>1</v>
      </c>
      <c r="U81" s="11">
        <f t="shared" si="2"/>
        <v>228</v>
      </c>
      <c r="W81" s="51">
        <f>IFERROR(__xludf.DUMMYFUNCTION("""COMPUTED_VALUE"""),40009.0)</f>
        <v>40009</v>
      </c>
      <c r="X81" s="40">
        <f>IFERROR(__xludf.DUMMYFUNCTION("FILTER(
  Movies!F81:F1000,
  DATEVALUE(Movies!B81:B1000) = W81
)
"),7.8500000000000005)</f>
        <v>7.85</v>
      </c>
      <c r="Y81" s="5"/>
      <c r="Z81" s="5"/>
      <c r="AA81" s="5"/>
      <c r="AB81" s="5"/>
    </row>
    <row r="82">
      <c r="B82" s="11" t="str">
        <f>Movies!C82</f>
        <v>Adventure, Family, Fantasy</v>
      </c>
      <c r="C82" s="11" t="str">
        <f>IFERROR(__xludf.DUMMYFUNCTION("ARRAYFORMULA(TRIM(SPLIT(B82, "","")))
"),"Adventure")</f>
        <v>Adventure</v>
      </c>
      <c r="D82" s="11" t="str">
        <f>IFERROR(__xludf.DUMMYFUNCTION("""COMPUTED_VALUE"""),"Family")</f>
        <v>Family</v>
      </c>
      <c r="E82" s="11" t="str">
        <f>IFERROR(__xludf.DUMMYFUNCTION("""COMPUTED_VALUE"""),"Fantasy")</f>
        <v>Fantasy</v>
      </c>
      <c r="J82" s="19">
        <v>8.1</v>
      </c>
      <c r="K82" s="11">
        <f>COUNTIFS(Movies[Final Score], "&lt;" &amp; J82, Movies[Final Score], "&gt;=" &amp; J81)
</f>
        <v>18</v>
      </c>
      <c r="S82" s="31">
        <f>IFERROR(__xludf.DUMMYFUNCTION("""COMPUTED_VALUE"""),46039.0)</f>
        <v>46039</v>
      </c>
      <c r="T82" s="34">
        <f>COUNTIF(Movies!N:N, S82)</f>
        <v>1</v>
      </c>
      <c r="U82" s="11">
        <f t="shared" si="2"/>
        <v>229</v>
      </c>
      <c r="W82" s="51">
        <f>IFERROR(__xludf.DUMMYFUNCTION("""COMPUTED_VALUE"""),40053.0)</f>
        <v>40053</v>
      </c>
      <c r="X82" s="40">
        <f>IFERROR(__xludf.DUMMYFUNCTION("FILTER(
  Movies!F82:F1000,
  DATEVALUE(Movies!B82:B1000) = W82
)
"),5.249999999999999)</f>
        <v>5.25</v>
      </c>
      <c r="Y82" s="5"/>
      <c r="Z82" s="5"/>
      <c r="AA82" s="5"/>
      <c r="AB82" s="5"/>
    </row>
    <row r="83">
      <c r="B83" s="11" t="str">
        <f>Movies!C83</f>
        <v>Action, Drama, Sci-Fi</v>
      </c>
      <c r="C83" s="11" t="str">
        <f>IFERROR(__xludf.DUMMYFUNCTION("ARRAYFORMULA(TRIM(SPLIT(B83, "","")))
"),"Action")</f>
        <v>Action</v>
      </c>
      <c r="D83" s="11" t="str">
        <f>IFERROR(__xludf.DUMMYFUNCTION("""COMPUTED_VALUE"""),"Drama")</f>
        <v>Drama</v>
      </c>
      <c r="E83" s="11" t="str">
        <f>IFERROR(__xludf.DUMMYFUNCTION("""COMPUTED_VALUE"""),"Sci-Fi")</f>
        <v>Sci-Fi</v>
      </c>
      <c r="J83" s="19">
        <v>8.2</v>
      </c>
      <c r="K83" s="11">
        <f>COUNTIFS(Movies[Final Score], "&lt;" &amp; J83, Movies[Final Score], "&gt;=" &amp; J82)
</f>
        <v>12</v>
      </c>
      <c r="S83" s="31">
        <f>IFERROR(__xludf.DUMMYFUNCTION("""COMPUTED_VALUE"""),46041.0)</f>
        <v>46041</v>
      </c>
      <c r="T83" s="34">
        <f>COUNTIF(Movies!N:N, S83)</f>
        <v>1</v>
      </c>
      <c r="U83" s="11">
        <f t="shared" si="2"/>
        <v>230</v>
      </c>
      <c r="W83" s="51">
        <f>IFERROR(__xludf.DUMMYFUNCTION("""COMPUTED_VALUE"""),40067.0)</f>
        <v>40067</v>
      </c>
      <c r="X83" s="40">
        <f>IFERROR(__xludf.DUMMYFUNCTION("FILTER(
  Movies!F83:F1000,
  DATEVALUE(Movies!B83:B1000) = W83
)
"),3.516666666666667)</f>
        <v>3.516666667</v>
      </c>
      <c r="Y83" s="5"/>
      <c r="Z83" s="5"/>
      <c r="AA83" s="5"/>
      <c r="AB83" s="5"/>
    </row>
    <row r="84">
      <c r="B84" s="11" t="str">
        <f>Movies!C84</f>
        <v>Action, Adventure, Sci-Fi</v>
      </c>
      <c r="C84" s="11" t="str">
        <f>IFERROR(__xludf.DUMMYFUNCTION("ARRAYFORMULA(TRIM(SPLIT(B84, "","")))
"),"Action")</f>
        <v>Action</v>
      </c>
      <c r="D84" s="11" t="str">
        <f>IFERROR(__xludf.DUMMYFUNCTION("""COMPUTED_VALUE"""),"Adventure")</f>
        <v>Adventure</v>
      </c>
      <c r="E84" s="11" t="str">
        <f>IFERROR(__xludf.DUMMYFUNCTION("""COMPUTED_VALUE"""),"Sci-Fi")</f>
        <v>Sci-Fi</v>
      </c>
      <c r="J84" s="19">
        <v>8.3</v>
      </c>
      <c r="K84" s="11">
        <f>COUNTIFS(Movies[Final Score], "&lt;" &amp; J84, Movies[Final Score], "&gt;=" &amp; J83)
</f>
        <v>4</v>
      </c>
      <c r="S84" s="31">
        <f>IFERROR(__xludf.DUMMYFUNCTION("""COMPUTED_VALUE"""),46042.0)</f>
        <v>46042</v>
      </c>
      <c r="T84" s="34">
        <f>COUNTIF(Movies!N:N, S84)</f>
        <v>1</v>
      </c>
      <c r="U84" s="11">
        <f t="shared" si="2"/>
        <v>231</v>
      </c>
      <c r="W84" s="51">
        <f>IFERROR(__xludf.DUMMYFUNCTION("""COMPUTED_VALUE"""),40074.0)</f>
        <v>40074</v>
      </c>
      <c r="X84" s="40">
        <f>IFERROR(__xludf.DUMMYFUNCTION("FILTER(
  Movies!F84:F1000,
  DATEVALUE(Movies!B84:B1000) = W84
)
"),6.833333333333333)</f>
        <v>6.833333333</v>
      </c>
      <c r="Y84" s="5"/>
      <c r="Z84" s="5"/>
      <c r="AA84" s="5"/>
      <c r="AB84" s="5"/>
    </row>
    <row r="85">
      <c r="B85" s="11" t="str">
        <f>Movies!C85</f>
        <v>Adventure, Family, Fantasy</v>
      </c>
      <c r="C85" s="11" t="str">
        <f>IFERROR(__xludf.DUMMYFUNCTION("ARRAYFORMULA(TRIM(SPLIT(B85, "","")))
"),"Adventure")</f>
        <v>Adventure</v>
      </c>
      <c r="D85" s="11" t="str">
        <f>IFERROR(__xludf.DUMMYFUNCTION("""COMPUTED_VALUE"""),"Family")</f>
        <v>Family</v>
      </c>
      <c r="E85" s="11" t="str">
        <f>IFERROR(__xludf.DUMMYFUNCTION("""COMPUTED_VALUE"""),"Fantasy")</f>
        <v>Fantasy</v>
      </c>
      <c r="J85" s="19">
        <v>8.4</v>
      </c>
      <c r="K85" s="11">
        <f>COUNTIFS(Movies[Final Score], "&lt;" &amp; J85, Movies[Final Score], "&gt;=" &amp; J84)
</f>
        <v>4</v>
      </c>
      <c r="S85" s="31">
        <f>IFERROR(__xludf.DUMMYFUNCTION("""COMPUTED_VALUE"""),46043.0)</f>
        <v>46043</v>
      </c>
      <c r="T85" s="34">
        <f>COUNTIF(Movies!N:N, S85)</f>
        <v>3</v>
      </c>
      <c r="U85" s="11">
        <f t="shared" si="2"/>
        <v>234</v>
      </c>
      <c r="W85" s="51">
        <f>IFERROR(__xludf.DUMMYFUNCTION("""COMPUTED_VALUE"""),40165.0)</f>
        <v>40165</v>
      </c>
      <c r="X85" s="40">
        <f>IFERROR(__xludf.DUMMYFUNCTION("FILTER(
  Movies!F85:F1000,
  DATEVALUE(Movies!B85:B1000) = W85
)
"),8.116666666666665)</f>
        <v>8.116666667</v>
      </c>
      <c r="Y85" s="5"/>
      <c r="Z85" s="5"/>
      <c r="AA85" s="5"/>
      <c r="AB85" s="5"/>
    </row>
    <row r="86">
      <c r="B86" s="11" t="str">
        <f>Movies!C86</f>
        <v>Animation, Adventure, Comedy</v>
      </c>
      <c r="C86" s="11" t="str">
        <f>IFERROR(__xludf.DUMMYFUNCTION("ARRAYFORMULA(TRIM(SPLIT(B86, "","")))
"),"Animation")</f>
        <v>Animation</v>
      </c>
      <c r="D86" s="11" t="str">
        <f>IFERROR(__xludf.DUMMYFUNCTION("""COMPUTED_VALUE"""),"Adventure")</f>
        <v>Adventure</v>
      </c>
      <c r="E86" s="11" t="str">
        <f>IFERROR(__xludf.DUMMYFUNCTION("""COMPUTED_VALUE"""),"Comedy")</f>
        <v>Comedy</v>
      </c>
      <c r="J86" s="19">
        <v>8.5</v>
      </c>
      <c r="K86" s="11">
        <f>COUNTIFS(Movies[Final Score], "&lt;" &amp; J86, Movies[Final Score], "&gt;=" &amp; J85)
</f>
        <v>10</v>
      </c>
      <c r="S86" s="31">
        <f>IFERROR(__xludf.DUMMYFUNCTION("""COMPUTED_VALUE"""),46049.0)</f>
        <v>46049</v>
      </c>
      <c r="T86" s="34">
        <f>COUNTIF(Movies!N:N, S86)</f>
        <v>1</v>
      </c>
      <c r="U86" s="11">
        <f t="shared" si="2"/>
        <v>235</v>
      </c>
      <c r="W86" s="51">
        <f>IFERROR(__xludf.DUMMYFUNCTION("""COMPUTED_VALUE"""),40221.0)</f>
        <v>40221</v>
      </c>
      <c r="X86" s="40">
        <f>IFERROR(__xludf.DUMMYFUNCTION("FILTER(
  Movies!F86:F1000,
  DATEVALUE(Movies!B86:B1000) = W86
)
"),7.733333333333333)</f>
        <v>7.733333333</v>
      </c>
      <c r="Y86" s="5"/>
      <c r="Z86" s="5"/>
      <c r="AA86" s="5"/>
      <c r="AB86" s="5"/>
    </row>
    <row r="87">
      <c r="B87" s="11" t="str">
        <f>Movies!C87</f>
        <v>Horror, Sci-Fi, Thriller</v>
      </c>
      <c r="C87" s="11" t="str">
        <f>IFERROR(__xludf.DUMMYFUNCTION("ARRAYFORMULA(TRIM(SPLIT(B87, "","")))
"),"Horror")</f>
        <v>Horror</v>
      </c>
      <c r="D87" s="11" t="str">
        <f>IFERROR(__xludf.DUMMYFUNCTION("""COMPUTED_VALUE"""),"Sci-Fi")</f>
        <v>Sci-Fi</v>
      </c>
      <c r="E87" s="11" t="str">
        <f>IFERROR(__xludf.DUMMYFUNCTION("""COMPUTED_VALUE"""),"Thriller")</f>
        <v>Thriller</v>
      </c>
      <c r="J87" s="19">
        <v>8.6</v>
      </c>
      <c r="K87" s="11">
        <f>COUNTIFS(Movies[Final Score], "&lt;" &amp; J87, Movies[Final Score], "&gt;=" &amp; J86)
</f>
        <v>3</v>
      </c>
      <c r="S87" s="31">
        <f>IFERROR(__xludf.DUMMYFUNCTION("""COMPUTED_VALUE"""),46054.0)</f>
        <v>46054</v>
      </c>
      <c r="T87" s="34">
        <f>COUNTIF(Movies!N:N, S87)</f>
        <v>1</v>
      </c>
      <c r="U87" s="11">
        <f t="shared" si="2"/>
        <v>236</v>
      </c>
      <c r="W87" s="51">
        <f>IFERROR(__xludf.DUMMYFUNCTION("""COMPUTED_VALUE"""),40228.0)</f>
        <v>40228</v>
      </c>
      <c r="X87" s="5" t="str">
        <f>IFERROR(__xludf.DUMMYFUNCTION("FILTER(
  Movies!F87:F1000,
  DATEVALUE(Movies!B87:B1000) = W87
)
"),"#N/A")</f>
        <v>#N/A</v>
      </c>
      <c r="Y87" s="5"/>
      <c r="Z87" s="5"/>
      <c r="AA87" s="5"/>
      <c r="AB87" s="5"/>
    </row>
    <row r="88">
      <c r="B88" s="11" t="str">
        <f>Movies!C88</f>
        <v>Action, Adventure, Fantasy</v>
      </c>
      <c r="C88" s="11" t="str">
        <f>IFERROR(__xludf.DUMMYFUNCTION("ARRAYFORMULA(TRIM(SPLIT(B88, "","")))
"),"Action")</f>
        <v>Action</v>
      </c>
      <c r="D88" s="11" t="str">
        <f>IFERROR(__xludf.DUMMYFUNCTION("""COMPUTED_VALUE"""),"Adventure")</f>
        <v>Adventure</v>
      </c>
      <c r="E88" s="11" t="str">
        <f>IFERROR(__xludf.DUMMYFUNCTION("""COMPUTED_VALUE"""),"Fantasy")</f>
        <v>Fantasy</v>
      </c>
      <c r="J88" s="19">
        <v>8.7</v>
      </c>
      <c r="K88" s="11">
        <f>COUNTIFS(Movies[Final Score], "&lt;" &amp; J88, Movies[Final Score], "&gt;=" &amp; J87)
</f>
        <v>13</v>
      </c>
      <c r="S88" s="31">
        <f>IFERROR(__xludf.DUMMYFUNCTION("""COMPUTED_VALUE"""),46057.0)</f>
        <v>46057</v>
      </c>
      <c r="T88" s="34">
        <f>COUNTIF(Movies!N:N, S88)</f>
        <v>1</v>
      </c>
      <c r="U88" s="11">
        <f t="shared" si="2"/>
        <v>237</v>
      </c>
      <c r="W88" s="51">
        <f>IFERROR(__xludf.DUMMYFUNCTION("""COMPUTED_VALUE"""),40263.0)</f>
        <v>40263</v>
      </c>
      <c r="X88" s="5" t="str">
        <f>IFERROR(__xludf.DUMMYFUNCTION("FILTER(
  Movies!F88:F1000,
  DATEVALUE(Movies!B88:B1000) = W88
)
"),"#N/A")</f>
        <v>#N/A</v>
      </c>
      <c r="Y88" s="5"/>
      <c r="Z88" s="5"/>
      <c r="AA88" s="5"/>
      <c r="AB88" s="5"/>
    </row>
    <row r="89">
      <c r="B89" s="11" t="str">
        <f>Movies!C89</f>
        <v>Action, Crime, Drama</v>
      </c>
      <c r="C89" s="11" t="str">
        <f>IFERROR(__xludf.DUMMYFUNCTION("ARRAYFORMULA(TRIM(SPLIT(B89, "","")))
"),"Action")</f>
        <v>Action</v>
      </c>
      <c r="D89" s="11" t="str">
        <f>IFERROR(__xludf.DUMMYFUNCTION("""COMPUTED_VALUE"""),"Crime")</f>
        <v>Crime</v>
      </c>
      <c r="E89" s="11" t="str">
        <f>IFERROR(__xludf.DUMMYFUNCTION("""COMPUTED_VALUE"""),"Drama")</f>
        <v>Drama</v>
      </c>
      <c r="J89" s="19">
        <v>8.8</v>
      </c>
      <c r="K89" s="11">
        <f>COUNTIFS(Movies[Final Score], "&lt;" &amp; J89, Movies[Final Score], "&gt;=" &amp; J88)
</f>
        <v>4</v>
      </c>
      <c r="S89" s="31">
        <f>IFERROR(__xludf.DUMMYFUNCTION("""COMPUTED_VALUE"""),46070.0)</f>
        <v>46070</v>
      </c>
      <c r="T89" s="34">
        <f>COUNTIF(Movies!N:N, S89)</f>
        <v>1</v>
      </c>
      <c r="U89" s="11">
        <f t="shared" si="2"/>
        <v>238</v>
      </c>
      <c r="W89" s="51">
        <f>IFERROR(__xludf.DUMMYFUNCTION("""COMPUTED_VALUE"""),40305.0)</f>
        <v>40305</v>
      </c>
      <c r="X89" s="40">
        <f>IFERROR(__xludf.DUMMYFUNCTION("FILTER(
  Movies!F89:F1000,
  DATEVALUE(Movies!B89:B1000) = W89
)
"),6.183333333333333)</f>
        <v>6.183333333</v>
      </c>
      <c r="Y89" s="5"/>
      <c r="Z89" s="5"/>
      <c r="AA89" s="5"/>
      <c r="AB89" s="5"/>
    </row>
    <row r="90">
      <c r="B90" s="11" t="str">
        <f>Movies!C90</f>
        <v>Action, Adventure, Fantasy</v>
      </c>
      <c r="C90" s="11" t="str">
        <f>IFERROR(__xludf.DUMMYFUNCTION("ARRAYFORMULA(TRIM(SPLIT(B90, "","")))
"),"Action")</f>
        <v>Action</v>
      </c>
      <c r="D90" s="11" t="str">
        <f>IFERROR(__xludf.DUMMYFUNCTION("""COMPUTED_VALUE"""),"Adventure")</f>
        <v>Adventure</v>
      </c>
      <c r="E90" s="11" t="str">
        <f>IFERROR(__xludf.DUMMYFUNCTION("""COMPUTED_VALUE"""),"Fantasy")</f>
        <v>Fantasy</v>
      </c>
      <c r="J90" s="19">
        <v>8.9</v>
      </c>
      <c r="K90" s="11">
        <f>COUNTIFS(Movies[Final Score], "&lt;" &amp; J90, Movies[Final Score], "&gt;=" &amp; J89)
</f>
        <v>7</v>
      </c>
      <c r="S90" s="31">
        <f>IFERROR(__xludf.DUMMYFUNCTION("""COMPUTED_VALUE"""),46072.0)</f>
        <v>46072</v>
      </c>
      <c r="T90" s="34">
        <f>COUNTIF(Movies!N:N, S90)</f>
        <v>1</v>
      </c>
      <c r="U90" s="11">
        <f t="shared" si="2"/>
        <v>239</v>
      </c>
      <c r="W90" s="51">
        <f>IFERROR(__xludf.DUMMYFUNCTION("""COMPUTED_VALUE"""),40375.0)</f>
        <v>40375</v>
      </c>
      <c r="X90" s="5" t="str">
        <f>IFERROR(__xludf.DUMMYFUNCTION("FILTER(
  Movies!F90:F1000,
  DATEVALUE(Movies!B90:B1000) = W90
)
"),"#N/A")</f>
        <v>#N/A</v>
      </c>
      <c r="Y90" s="5"/>
      <c r="Z90" s="5"/>
      <c r="AA90" s="5"/>
      <c r="AB90" s="5"/>
    </row>
    <row r="91">
      <c r="B91" s="11" t="str">
        <f>Movies!C91</f>
        <v>Horror, Mystery, Thriller</v>
      </c>
      <c r="C91" s="11" t="str">
        <f>IFERROR(__xludf.DUMMYFUNCTION("ARRAYFORMULA(TRIM(SPLIT(B91, "","")))
"),"Horror")</f>
        <v>Horror</v>
      </c>
      <c r="D91" s="11" t="str">
        <f>IFERROR(__xludf.DUMMYFUNCTION("""COMPUTED_VALUE"""),"Mystery")</f>
        <v>Mystery</v>
      </c>
      <c r="E91" s="11" t="str">
        <f>IFERROR(__xludf.DUMMYFUNCTION("""COMPUTED_VALUE"""),"Thriller")</f>
        <v>Thriller</v>
      </c>
      <c r="J91" s="19">
        <v>9.0</v>
      </c>
      <c r="K91" s="11">
        <f>COUNTIFS(Movies[Final Score], "&lt;" &amp; J91, Movies[Final Score], "&gt;=" &amp; J90)
</f>
        <v>4</v>
      </c>
      <c r="S91" s="31">
        <f>IFERROR(__xludf.DUMMYFUNCTION("""COMPUTED_VALUE"""),46076.0)</f>
        <v>46076</v>
      </c>
      <c r="T91" s="34">
        <f>COUNTIF(Movies!N:N, S91)</f>
        <v>1</v>
      </c>
      <c r="U91" s="11">
        <f t="shared" si="2"/>
        <v>240</v>
      </c>
      <c r="W91" s="51">
        <f>IFERROR(__xludf.DUMMYFUNCTION("""COMPUTED_VALUE"""),40529.0)</f>
        <v>40529</v>
      </c>
      <c r="X91" s="5" t="str">
        <f>IFERROR(__xludf.DUMMYFUNCTION("FILTER(
  Movies!F91:F1000,
  DATEVALUE(Movies!B91:B1000) = W91
)
"),"#N/A")</f>
        <v>#N/A</v>
      </c>
      <c r="Y91" s="5"/>
      <c r="Z91" s="5"/>
      <c r="AA91" s="5"/>
      <c r="AB91" s="5"/>
    </row>
    <row r="92">
      <c r="B92" s="11" t="str">
        <f>Movies!C92</f>
        <v>Action, Adventure, Sci-Fi</v>
      </c>
      <c r="C92" s="11" t="str">
        <f>IFERROR(__xludf.DUMMYFUNCTION("ARRAYFORMULA(TRIM(SPLIT(B92, "","")))
"),"Action")</f>
        <v>Action</v>
      </c>
      <c r="D92" s="11" t="str">
        <f>IFERROR(__xludf.DUMMYFUNCTION("""COMPUTED_VALUE"""),"Adventure")</f>
        <v>Adventure</v>
      </c>
      <c r="E92" s="11" t="str">
        <f>IFERROR(__xludf.DUMMYFUNCTION("""COMPUTED_VALUE"""),"Sci-Fi")</f>
        <v>Sci-Fi</v>
      </c>
      <c r="J92" s="19">
        <v>9.1</v>
      </c>
      <c r="K92" s="11">
        <f>COUNTIFS(Movies[Final Score], "&lt;" &amp; J92, Movies[Final Score], "&gt;=" &amp; J91)
</f>
        <v>6</v>
      </c>
      <c r="S92" s="31">
        <f>IFERROR(__xludf.DUMMYFUNCTION("""COMPUTED_VALUE"""),46078.0)</f>
        <v>46078</v>
      </c>
      <c r="T92" s="34">
        <f>COUNTIF(Movies!N:N, S92)</f>
        <v>1</v>
      </c>
      <c r="U92" s="11">
        <f t="shared" si="2"/>
        <v>241</v>
      </c>
      <c r="W92" s="51">
        <f>IFERROR(__xludf.DUMMYFUNCTION("""COMPUTED_VALUE"""),40603.0)</f>
        <v>40603</v>
      </c>
      <c r="X92" s="40">
        <f>IFERROR(__xludf.DUMMYFUNCTION("FILTER(
  Movies!F92:F1000,
  DATEVALUE(Movies!B92:B1000) = W92
)
"),6.733333333333333)</f>
        <v>6.733333333</v>
      </c>
      <c r="Y92" s="5"/>
      <c r="Z92" s="5"/>
      <c r="AA92" s="5"/>
      <c r="AB92" s="5"/>
    </row>
    <row r="93">
      <c r="B93" s="11" t="str">
        <f>Movies!C93</f>
        <v>Action, Adventure, Drama</v>
      </c>
      <c r="C93" s="11" t="str">
        <f>IFERROR(__xludf.DUMMYFUNCTION("ARRAYFORMULA(TRIM(SPLIT(B93, "","")))
"),"Action")</f>
        <v>Action</v>
      </c>
      <c r="D93" s="11" t="str">
        <f>IFERROR(__xludf.DUMMYFUNCTION("""COMPUTED_VALUE"""),"Adventure")</f>
        <v>Adventure</v>
      </c>
      <c r="E93" s="11" t="str">
        <f>IFERROR(__xludf.DUMMYFUNCTION("""COMPUTED_VALUE"""),"Drama")</f>
        <v>Drama</v>
      </c>
      <c r="J93" s="19">
        <v>9.2</v>
      </c>
      <c r="K93" s="11">
        <f>COUNTIFS(Movies[Final Score], "&lt;" &amp; J93, Movies[Final Score], "&gt;=" &amp; J92)
</f>
        <v>1</v>
      </c>
      <c r="S93" s="31">
        <f>IFERROR(__xludf.DUMMYFUNCTION("""COMPUTED_VALUE"""),46079.0)</f>
        <v>46079</v>
      </c>
      <c r="T93" s="34">
        <f>COUNTIF(Movies!N:N, S93)</f>
        <v>2</v>
      </c>
      <c r="U93" s="11">
        <f t="shared" si="2"/>
        <v>243</v>
      </c>
      <c r="W93" s="51">
        <f>IFERROR(__xludf.DUMMYFUNCTION("""COMPUTED_VALUE"""),40606.0)</f>
        <v>40606</v>
      </c>
      <c r="X93" s="40">
        <f>IFERROR(__xludf.DUMMYFUNCTION("FILTER(
  Movies!F93:F1000,
  DATEVALUE(Movies!B93:B1000) = W93
)
"),7.416666666666667)</f>
        <v>7.416666667</v>
      </c>
      <c r="Y93" s="5"/>
      <c r="Z93" s="5"/>
      <c r="AA93" s="5"/>
      <c r="AB93" s="5"/>
    </row>
    <row r="94">
      <c r="B94" s="11" t="str">
        <f>Movies!C94</f>
        <v>Drama, Thriller</v>
      </c>
      <c r="C94" s="11" t="str">
        <f>IFERROR(__xludf.DUMMYFUNCTION("ARRAYFORMULA(TRIM(SPLIT(B94, "","")))
"),"Drama")</f>
        <v>Drama</v>
      </c>
      <c r="D94" s="11" t="str">
        <f>IFERROR(__xludf.DUMMYFUNCTION("""COMPUTED_VALUE"""),"Thriller")</f>
        <v>Thriller</v>
      </c>
      <c r="J94" s="19">
        <v>9.3</v>
      </c>
      <c r="K94" s="11">
        <f>COUNTIFS(Movies[Final Score], "&lt;" &amp; J94, Movies[Final Score], "&gt;=" &amp; J93)
</f>
        <v>11</v>
      </c>
      <c r="S94" s="31">
        <f>IFERROR(__xludf.DUMMYFUNCTION("""COMPUTED_VALUE"""),46080.0)</f>
        <v>46080</v>
      </c>
      <c r="T94" s="34">
        <f>COUNTIF(Movies!N:N, S94)</f>
        <v>1</v>
      </c>
      <c r="U94" s="11">
        <f t="shared" si="2"/>
        <v>244</v>
      </c>
      <c r="W94" s="51">
        <f>IFERROR(__xludf.DUMMYFUNCTION("""COMPUTED_VALUE"""),40669.0)</f>
        <v>40669</v>
      </c>
      <c r="X94" s="40">
        <f>IFERROR(__xludf.DUMMYFUNCTION("FILTER(
  Movies!F94:F1000,
  DATEVALUE(Movies!B94:B1000) = W94
)
"),6.1499999999999995)</f>
        <v>6.15</v>
      </c>
      <c r="Y94" s="5"/>
      <c r="Z94" s="5"/>
      <c r="AA94" s="5"/>
      <c r="AB94" s="5"/>
    </row>
    <row r="95">
      <c r="B95" s="11" t="str">
        <f>Movies!C95</f>
        <v>Animation, Adventure, Comedy</v>
      </c>
      <c r="C95" s="11" t="str">
        <f>IFERROR(__xludf.DUMMYFUNCTION("ARRAYFORMULA(TRIM(SPLIT(B95, "","")))
"),"Animation")</f>
        <v>Animation</v>
      </c>
      <c r="D95" s="11" t="str">
        <f>IFERROR(__xludf.DUMMYFUNCTION("""COMPUTED_VALUE"""),"Adventure")</f>
        <v>Adventure</v>
      </c>
      <c r="E95" s="11" t="str">
        <f>IFERROR(__xludf.DUMMYFUNCTION("""COMPUTED_VALUE"""),"Comedy")</f>
        <v>Comedy</v>
      </c>
      <c r="J95" s="19">
        <v>9.4</v>
      </c>
      <c r="K95" s="11">
        <f>COUNTIFS(Movies[Final Score], "&lt;" &amp; J95, Movies[Final Score], "&gt;=" &amp; J94)
</f>
        <v>1</v>
      </c>
      <c r="S95" s="31">
        <f>IFERROR(__xludf.DUMMYFUNCTION("""COMPUTED_VALUE"""),46081.0)</f>
        <v>46081</v>
      </c>
      <c r="T95" s="34">
        <f>COUNTIF(Movies!N:N, S95)</f>
        <v>3</v>
      </c>
      <c r="U95" s="11">
        <f t="shared" si="2"/>
        <v>247</v>
      </c>
      <c r="W95" s="51">
        <f>IFERROR(__xludf.DUMMYFUNCTION("""COMPUTED_VALUE"""),40718.0)</f>
        <v>40718</v>
      </c>
      <c r="X95" s="40">
        <f>IFERROR(__xludf.DUMMYFUNCTION("FILTER(
  Movies!F95:F1000,
  DATEVALUE(Movies!B95:B1000) = W95
)
"),6.7)</f>
        <v>6.7</v>
      </c>
      <c r="Y95" s="5"/>
      <c r="Z95" s="5"/>
      <c r="AA95" s="5"/>
      <c r="AB95" s="5"/>
    </row>
    <row r="96">
      <c r="B96" s="11" t="str">
        <f>Movies!C96</f>
        <v>Action, Drama, History</v>
      </c>
      <c r="C96" s="11" t="str">
        <f>IFERROR(__xludf.DUMMYFUNCTION("ARRAYFORMULA(TRIM(SPLIT(B96, "","")))
"),"Action")</f>
        <v>Action</v>
      </c>
      <c r="D96" s="11" t="str">
        <f>IFERROR(__xludf.DUMMYFUNCTION("""COMPUTED_VALUE"""),"Drama")</f>
        <v>Drama</v>
      </c>
      <c r="E96" s="11" t="str">
        <f>IFERROR(__xludf.DUMMYFUNCTION("""COMPUTED_VALUE"""),"History")</f>
        <v>History</v>
      </c>
      <c r="J96" s="19">
        <v>9.5</v>
      </c>
      <c r="K96" s="11">
        <f>COUNTIFS(Movies[Final Score], "&lt;" &amp; J96, Movies[Final Score], "&gt;=" &amp; J95)
</f>
        <v>3</v>
      </c>
      <c r="S96" s="31">
        <f>IFERROR(__xludf.DUMMYFUNCTION("""COMPUTED_VALUE"""),46082.0)</f>
        <v>46082</v>
      </c>
      <c r="T96" s="34">
        <f>COUNTIF(Movies!N:N, S96)</f>
        <v>2</v>
      </c>
      <c r="U96" s="11">
        <f t="shared" si="2"/>
        <v>249</v>
      </c>
      <c r="W96" s="51">
        <f>IFERROR(__xludf.DUMMYFUNCTION("""COMPUTED_VALUE"""),40723.0)</f>
        <v>40723</v>
      </c>
      <c r="X96" s="40">
        <f>IFERROR(__xludf.DUMMYFUNCTION("FILTER(
  Movies!F96:F1000,
  DATEVALUE(Movies!B96:B1000) = W96
)
"),7.2)</f>
        <v>7.2</v>
      </c>
      <c r="Y96" s="5"/>
      <c r="Z96" s="5"/>
      <c r="AA96" s="5"/>
      <c r="AB96" s="5"/>
    </row>
    <row r="97">
      <c r="B97" s="11" t="str">
        <f>Movies!C97</f>
        <v>Action, Adventure, Drama</v>
      </c>
      <c r="C97" s="11" t="str">
        <f>IFERROR(__xludf.DUMMYFUNCTION("ARRAYFORMULA(TRIM(SPLIT(B97, "","")))
"),"Action")</f>
        <v>Action</v>
      </c>
      <c r="D97" s="11" t="str">
        <f>IFERROR(__xludf.DUMMYFUNCTION("""COMPUTED_VALUE"""),"Adventure")</f>
        <v>Adventure</v>
      </c>
      <c r="E97" s="11" t="str">
        <f>IFERROR(__xludf.DUMMYFUNCTION("""COMPUTED_VALUE"""),"Drama")</f>
        <v>Drama</v>
      </c>
      <c r="J97" s="19">
        <v>9.6</v>
      </c>
      <c r="K97" s="11">
        <f>COUNTIFS(Movies[Final Score], "&lt;" &amp; J97, Movies[Final Score], "&gt;=" &amp; J96)
</f>
        <v>2</v>
      </c>
      <c r="S97" s="31">
        <f>IFERROR(__xludf.DUMMYFUNCTION("""COMPUTED_VALUE"""),46085.0)</f>
        <v>46085</v>
      </c>
      <c r="T97" s="34">
        <f>COUNTIF(Movies!N:N, S97)</f>
        <v>1</v>
      </c>
      <c r="U97" s="11">
        <f t="shared" si="2"/>
        <v>250</v>
      </c>
      <c r="W97" s="51">
        <f>IFERROR(__xludf.DUMMYFUNCTION("""COMPUTED_VALUE"""),40739.0)</f>
        <v>40739</v>
      </c>
      <c r="X97" s="5" t="str">
        <f>IFERROR(__xludf.DUMMYFUNCTION("FILTER(
  Movies!F97:F1000,
  DATEVALUE(Movies!B97:B1000) = W97
)
"),"#N/A")</f>
        <v>#N/A</v>
      </c>
      <c r="Y97" s="5"/>
      <c r="Z97" s="5"/>
      <c r="AA97" s="5"/>
      <c r="AB97" s="5"/>
    </row>
    <row r="98">
      <c r="B98" s="11" t="str">
        <f>Movies!C98</f>
        <v>Action, Adventure, Sci-Fi</v>
      </c>
      <c r="C98" s="11" t="str">
        <f>IFERROR(__xludf.DUMMYFUNCTION("ARRAYFORMULA(TRIM(SPLIT(B98, "","")))
"),"Action")</f>
        <v>Action</v>
      </c>
      <c r="D98" s="11" t="str">
        <f>IFERROR(__xludf.DUMMYFUNCTION("""COMPUTED_VALUE"""),"Adventure")</f>
        <v>Adventure</v>
      </c>
      <c r="E98" s="11" t="str">
        <f>IFERROR(__xludf.DUMMYFUNCTION("""COMPUTED_VALUE"""),"Sci-Fi")</f>
        <v>Sci-Fi</v>
      </c>
      <c r="J98" s="19">
        <v>9.7</v>
      </c>
      <c r="K98" s="11">
        <f>COUNTIFS(Movies[Final Score], "&lt;" &amp; J98, Movies[Final Score], "&gt;=" &amp; J97)
</f>
        <v>2</v>
      </c>
      <c r="S98" s="31">
        <f>IFERROR(__xludf.DUMMYFUNCTION("""COMPUTED_VALUE"""),46086.0)</f>
        <v>46086</v>
      </c>
      <c r="T98" s="34">
        <f>COUNTIF(Movies!N:N, S98)</f>
        <v>1</v>
      </c>
      <c r="U98" s="11">
        <f t="shared" si="2"/>
        <v>251</v>
      </c>
      <c r="W98" s="51">
        <f>IFERROR(__xludf.DUMMYFUNCTION("""COMPUTED_VALUE"""),40746.0)</f>
        <v>40746</v>
      </c>
      <c r="X98" s="40">
        <f>IFERROR(__xludf.DUMMYFUNCTION("FILTER(
  Movies!F98:F1000,
  DATEVALUE(Movies!B98:B1000) = W98
)
"),7.25)</f>
        <v>7.25</v>
      </c>
      <c r="Y98" s="5"/>
      <c r="Z98" s="5"/>
      <c r="AA98" s="5"/>
      <c r="AB98" s="5"/>
    </row>
    <row r="99">
      <c r="B99" s="11" t="str">
        <f>Movies!C99</f>
        <v>Action, Adventure, Fantasy</v>
      </c>
      <c r="C99" s="11" t="str">
        <f>IFERROR(__xludf.DUMMYFUNCTION("ARRAYFORMULA(TRIM(SPLIT(B99, "","")))
"),"Action")</f>
        <v>Action</v>
      </c>
      <c r="D99" s="11" t="str">
        <f>IFERROR(__xludf.DUMMYFUNCTION("""COMPUTED_VALUE"""),"Adventure")</f>
        <v>Adventure</v>
      </c>
      <c r="E99" s="11" t="str">
        <f>IFERROR(__xludf.DUMMYFUNCTION("""COMPUTED_VALUE"""),"Fantasy")</f>
        <v>Fantasy</v>
      </c>
      <c r="J99" s="19">
        <v>9.8</v>
      </c>
      <c r="K99" s="11">
        <f>COUNTIFS(Movies[Final Score], "&lt;" &amp; J99, Movies[Final Score], "&gt;=" &amp; J98)
</f>
        <v>0</v>
      </c>
      <c r="S99" s="31">
        <f>IFERROR(__xludf.DUMMYFUNCTION("""COMPUTED_VALUE"""),46088.0)</f>
        <v>46088</v>
      </c>
      <c r="T99" s="34">
        <f>COUNTIF(Movies!N:N, S99)</f>
        <v>1</v>
      </c>
      <c r="U99" s="11">
        <f t="shared" si="2"/>
        <v>252</v>
      </c>
      <c r="W99" s="51">
        <f>IFERROR(__xludf.DUMMYFUNCTION("""COMPUTED_VALUE"""),40760.0)</f>
        <v>40760</v>
      </c>
      <c r="X99" s="40">
        <f>IFERROR(__xludf.DUMMYFUNCTION("FILTER(
  Movies!F99:F1000,
  DATEVALUE(Movies!B99:B1000) = W99
)
"),7.866666666666666)</f>
        <v>7.866666667</v>
      </c>
      <c r="Y99" s="5"/>
      <c r="Z99" s="5"/>
      <c r="AA99" s="5"/>
      <c r="AB99" s="5"/>
    </row>
    <row r="100">
      <c r="B100" s="11" t="str">
        <f>Movies!C100</f>
        <v>Drama, Horror, Sci-Fi</v>
      </c>
      <c r="C100" s="11" t="str">
        <f>IFERROR(__xludf.DUMMYFUNCTION("ARRAYFORMULA(TRIM(SPLIT(B100, "","")))
"),"Drama")</f>
        <v>Drama</v>
      </c>
      <c r="D100" s="11" t="str">
        <f>IFERROR(__xludf.DUMMYFUNCTION("""COMPUTED_VALUE"""),"Horror")</f>
        <v>Horror</v>
      </c>
      <c r="E100" s="11" t="str">
        <f>IFERROR(__xludf.DUMMYFUNCTION("""COMPUTED_VALUE"""),"Sci-Fi")</f>
        <v>Sci-Fi</v>
      </c>
      <c r="J100" s="19">
        <v>9.9</v>
      </c>
      <c r="K100" s="11">
        <f>COUNTIFS(Movies[Final Score], "&lt;" &amp; J100, Movies[Final Score], "&gt;=" &amp; J99)
</f>
        <v>2</v>
      </c>
      <c r="S100" s="31">
        <f>IFERROR(__xludf.DUMMYFUNCTION("""COMPUTED_VALUE"""),46089.0)</f>
        <v>46089</v>
      </c>
      <c r="T100" s="34">
        <f>COUNTIF(Movies!N:N, S100)</f>
        <v>1</v>
      </c>
      <c r="U100" s="11">
        <f t="shared" si="2"/>
        <v>253</v>
      </c>
      <c r="W100" s="51">
        <f>IFERROR(__xludf.DUMMYFUNCTION("""COMPUTED_VALUE"""),40767.0)</f>
        <v>40767</v>
      </c>
      <c r="X100" s="40">
        <f>IFERROR(__xludf.DUMMYFUNCTION("FILTER(
  Movies!F100:F1000,
  DATEVALUE(Movies!B100:B1000) = W100
)
"),6.166666666666667)</f>
        <v>6.166666667</v>
      </c>
      <c r="Y100" s="5"/>
      <c r="Z100" s="5"/>
      <c r="AA100" s="5"/>
      <c r="AB100" s="5"/>
    </row>
    <row r="101">
      <c r="B101" s="11" t="str">
        <f>Movies!C101</f>
        <v>Action, Adventure, War</v>
      </c>
      <c r="C101" s="11" t="str">
        <f>IFERROR(__xludf.DUMMYFUNCTION("ARRAYFORMULA(TRIM(SPLIT(B101, "","")))
"),"Action")</f>
        <v>Action</v>
      </c>
      <c r="D101" s="11" t="str">
        <f>IFERROR(__xludf.DUMMYFUNCTION("""COMPUTED_VALUE"""),"Adventure")</f>
        <v>Adventure</v>
      </c>
      <c r="E101" s="11" t="str">
        <f>IFERROR(__xludf.DUMMYFUNCTION("""COMPUTED_VALUE"""),"War")</f>
        <v>War</v>
      </c>
      <c r="J101" s="19">
        <v>10.0</v>
      </c>
      <c r="K101" s="11">
        <f>COUNTIFS(Movies[Final Score], "&lt;" &amp; J101, Movies[Final Score], "&gt;=" &amp; J100)
</f>
        <v>0</v>
      </c>
      <c r="S101" s="31">
        <f>IFERROR(__xludf.DUMMYFUNCTION("""COMPUTED_VALUE"""),46092.0)</f>
        <v>46092</v>
      </c>
      <c r="T101" s="34">
        <f>COUNTIF(Movies!N:N, S101)</f>
        <v>1</v>
      </c>
      <c r="U101" s="11">
        <f t="shared" si="2"/>
        <v>254</v>
      </c>
      <c r="W101" s="51">
        <f>IFERROR(__xludf.DUMMYFUNCTION("""COMPUTED_VALUE"""),40795.0)</f>
        <v>40795</v>
      </c>
      <c r="X101" s="5" t="str">
        <f>IFERROR(__xludf.DUMMYFUNCTION("FILTER(
  Movies!F101:F1000,
  DATEVALUE(Movies!B101:B1000) = W101
)
"),"#N/A")</f>
        <v>#N/A</v>
      </c>
      <c r="Y101" s="5"/>
      <c r="Z101" s="5"/>
      <c r="AA101" s="5"/>
      <c r="AB101" s="5"/>
    </row>
    <row r="102">
      <c r="B102" s="11" t="str">
        <f>Movies!C102</f>
        <v>Action, Adventure, Drama</v>
      </c>
      <c r="C102" s="11" t="str">
        <f>IFERROR(__xludf.DUMMYFUNCTION("ARRAYFORMULA(TRIM(SPLIT(B102, "","")))
"),"Action")</f>
        <v>Action</v>
      </c>
      <c r="D102" s="11" t="str">
        <f>IFERROR(__xludf.DUMMYFUNCTION("""COMPUTED_VALUE"""),"Adventure")</f>
        <v>Adventure</v>
      </c>
      <c r="E102" s="11" t="str">
        <f>IFERROR(__xludf.DUMMYFUNCTION("""COMPUTED_VALUE"""),"Drama")</f>
        <v>Drama</v>
      </c>
      <c r="J102" s="58"/>
      <c r="S102" s="31">
        <f>IFERROR(__xludf.DUMMYFUNCTION("""COMPUTED_VALUE"""),46093.0)</f>
        <v>46093</v>
      </c>
      <c r="T102" s="34">
        <f>COUNTIF(Movies!N:N, S102)</f>
        <v>1</v>
      </c>
      <c r="U102" s="11">
        <f t="shared" si="2"/>
        <v>255</v>
      </c>
      <c r="W102" s="51">
        <f>IFERROR(__xludf.DUMMYFUNCTION("""COMPUTED_VALUE"""),40928.0)</f>
        <v>40928</v>
      </c>
      <c r="X102" s="40">
        <f>IFERROR(__xludf.DUMMYFUNCTION("FILTER(
  Movies!F102:F1000,
  DATEVALUE(Movies!B102:B1000) = W102
)
"),6.25)</f>
        <v>6.25</v>
      </c>
      <c r="Y102" s="5"/>
      <c r="Z102" s="5"/>
      <c r="AA102" s="5"/>
      <c r="AB102" s="5"/>
    </row>
    <row r="103">
      <c r="B103" s="11" t="str">
        <f>Movies!C103</f>
        <v>Horror, Sci-Fi, Thriller</v>
      </c>
      <c r="C103" s="11" t="str">
        <f>IFERROR(__xludf.DUMMYFUNCTION("ARRAYFORMULA(TRIM(SPLIT(B103, "","")))
"),"Horror")</f>
        <v>Horror</v>
      </c>
      <c r="D103" s="11" t="str">
        <f>IFERROR(__xludf.DUMMYFUNCTION("""COMPUTED_VALUE"""),"Sci-Fi")</f>
        <v>Sci-Fi</v>
      </c>
      <c r="E103" s="11" t="str">
        <f>IFERROR(__xludf.DUMMYFUNCTION("""COMPUTED_VALUE"""),"Thriller")</f>
        <v>Thriller</v>
      </c>
      <c r="J103" s="58"/>
      <c r="S103" s="31">
        <f>IFERROR(__xludf.DUMMYFUNCTION("""COMPUTED_VALUE"""),46098.0)</f>
        <v>46098</v>
      </c>
      <c r="T103" s="34">
        <f>COUNTIF(Movies!N:N, S103)</f>
        <v>2</v>
      </c>
      <c r="U103" s="11">
        <f t="shared" si="2"/>
        <v>257</v>
      </c>
      <c r="W103" s="51">
        <f>IFERROR(__xludf.DUMMYFUNCTION("""COMPUTED_VALUE"""),40991.0)</f>
        <v>40991</v>
      </c>
      <c r="X103" s="5" t="str">
        <f>IFERROR(__xludf.DUMMYFUNCTION("FILTER(
  Movies!F103:F1000,
  DATEVALUE(Movies!B103:B1000) = W103
)
"),"#N/A")</f>
        <v>#N/A</v>
      </c>
      <c r="Y103" s="5"/>
      <c r="Z103" s="5"/>
      <c r="AA103" s="5"/>
      <c r="AB103" s="5"/>
    </row>
    <row r="104">
      <c r="B104" s="11" t="str">
        <f>Movies!C104</f>
        <v>Action, Adventure, Thriller</v>
      </c>
      <c r="C104" s="11" t="str">
        <f>IFERROR(__xludf.DUMMYFUNCTION("ARRAYFORMULA(TRIM(SPLIT(B104, "","")))
"),"Action")</f>
        <v>Action</v>
      </c>
      <c r="D104" s="11" t="str">
        <f>IFERROR(__xludf.DUMMYFUNCTION("""COMPUTED_VALUE"""),"Adventure")</f>
        <v>Adventure</v>
      </c>
      <c r="E104" s="11" t="str">
        <f>IFERROR(__xludf.DUMMYFUNCTION("""COMPUTED_VALUE"""),"Thriller")</f>
        <v>Thriller</v>
      </c>
      <c r="J104" s="58"/>
      <c r="S104" s="31">
        <f>IFERROR(__xludf.DUMMYFUNCTION("""COMPUTED_VALUE"""),46099.0)</f>
        <v>46099</v>
      </c>
      <c r="T104" s="34">
        <f>COUNTIF(Movies!N:N, S104)</f>
        <v>1</v>
      </c>
      <c r="U104" s="11">
        <f t="shared" si="2"/>
        <v>258</v>
      </c>
      <c r="W104" s="51">
        <f>IFERROR(__xludf.DUMMYFUNCTION("""COMPUTED_VALUE"""),40998.0)</f>
        <v>40998</v>
      </c>
      <c r="X104" s="40">
        <f>IFERROR(__xludf.DUMMYFUNCTION("FILTER(
  Movies!F104:F1000,
  DATEVALUE(Movies!B104:B1000) = W104
)
"),7.183333333333334)</f>
        <v>7.183333333</v>
      </c>
      <c r="Y104" s="5"/>
      <c r="Z104" s="5"/>
      <c r="AA104" s="5"/>
      <c r="AB104" s="5"/>
    </row>
    <row r="105">
      <c r="B105" s="11" t="str">
        <f>Movies!C105</f>
        <v>Horror</v>
      </c>
      <c r="C105" s="11" t="str">
        <f>IFERROR(__xludf.DUMMYFUNCTION("ARRAYFORMULA(TRIM(SPLIT(B105, "","")))
"),"Horror")</f>
        <v>Horror</v>
      </c>
      <c r="J105" s="58"/>
      <c r="S105" s="31">
        <f>IFERROR(__xludf.DUMMYFUNCTION("""COMPUTED_VALUE"""),46121.0)</f>
        <v>46121</v>
      </c>
      <c r="T105" s="34">
        <f>COUNTIF(Movies!N:N, S105)</f>
        <v>4</v>
      </c>
      <c r="U105" s="11">
        <f t="shared" si="2"/>
        <v>262</v>
      </c>
      <c r="W105" s="51">
        <f>IFERROR(__xludf.DUMMYFUNCTION("""COMPUTED_VALUE"""),41033.0)</f>
        <v>41033</v>
      </c>
      <c r="X105" s="5" t="str">
        <f>IFERROR(__xludf.DUMMYFUNCTION("FILTER(
  Movies!F105:F1000,
  DATEVALUE(Movies!B105:B1000) = W105
)
"),"#N/A")</f>
        <v>#N/A</v>
      </c>
      <c r="Y105" s="5"/>
      <c r="Z105" s="5"/>
      <c r="AA105" s="5"/>
      <c r="AB105" s="5"/>
    </row>
    <row r="106">
      <c r="B106" s="11" t="str">
        <f>Movies!C106</f>
        <v>Adventure, Family, Fantasy</v>
      </c>
      <c r="C106" s="11" t="str">
        <f>IFERROR(__xludf.DUMMYFUNCTION("ARRAYFORMULA(TRIM(SPLIT(B106, "","")))
"),"Adventure")</f>
        <v>Adventure</v>
      </c>
      <c r="D106" s="11" t="str">
        <f>IFERROR(__xludf.DUMMYFUNCTION("""COMPUTED_VALUE"""),"Family")</f>
        <v>Family</v>
      </c>
      <c r="E106" s="11" t="str">
        <f>IFERROR(__xludf.DUMMYFUNCTION("""COMPUTED_VALUE"""),"Fantasy")</f>
        <v>Fantasy</v>
      </c>
      <c r="J106" s="58"/>
      <c r="S106" s="31">
        <f>IFERROR(__xludf.DUMMYFUNCTION("""COMPUTED_VALUE"""),46136.0)</f>
        <v>46136</v>
      </c>
      <c r="T106" s="34">
        <f>COUNTIF(Movies!N:N, S106)</f>
        <v>1</v>
      </c>
      <c r="U106" s="11">
        <f t="shared" si="2"/>
        <v>263</v>
      </c>
      <c r="W106" s="51">
        <f>IFERROR(__xludf.DUMMYFUNCTION("""COMPUTED_VALUE"""),41093.0)</f>
        <v>41093</v>
      </c>
      <c r="X106" s="40">
        <f>IFERROR(__xludf.DUMMYFUNCTION("FILTER(
  Movies!F106:F1000,
  DATEVALUE(Movies!B106:B1000) = W106
)
"),7.366666666666667)</f>
        <v>7.366666667</v>
      </c>
      <c r="Y106" s="5"/>
      <c r="Z106" s="5"/>
      <c r="AA106" s="5"/>
      <c r="AB106" s="5"/>
    </row>
    <row r="107">
      <c r="B107" s="11" t="str">
        <f>Movies!C107</f>
        <v>Action, Sci-Fi, Thriller</v>
      </c>
      <c r="C107" s="11" t="str">
        <f>IFERROR(__xludf.DUMMYFUNCTION("ARRAYFORMULA(TRIM(SPLIT(B107, "","")))
"),"Action")</f>
        <v>Action</v>
      </c>
      <c r="D107" s="11" t="str">
        <f>IFERROR(__xludf.DUMMYFUNCTION("""COMPUTED_VALUE"""),"Sci-Fi")</f>
        <v>Sci-Fi</v>
      </c>
      <c r="E107" s="11" t="str">
        <f>IFERROR(__xludf.DUMMYFUNCTION("""COMPUTED_VALUE"""),"Thriller")</f>
        <v>Thriller</v>
      </c>
      <c r="J107" s="58"/>
      <c r="S107" s="31">
        <f>IFERROR(__xludf.DUMMYFUNCTION("""COMPUTED_VALUE"""),46141.0)</f>
        <v>46141</v>
      </c>
      <c r="T107" s="34">
        <f>COUNTIF(Movies!N:N, S107)</f>
        <v>1</v>
      </c>
      <c r="U107" s="11">
        <f t="shared" si="2"/>
        <v>264</v>
      </c>
      <c r="W107" s="51">
        <f>IFERROR(__xludf.DUMMYFUNCTION("""COMPUTED_VALUE"""),41131.0)</f>
        <v>41131</v>
      </c>
      <c r="X107" s="40">
        <f>IFERROR(__xludf.DUMMYFUNCTION("FILTER(
  Movies!F107:F1000,
  DATEVALUE(Movies!B107:B1000) = W107
)
"),7.066666666666666)</f>
        <v>7.066666667</v>
      </c>
      <c r="Y107" s="5"/>
      <c r="Z107" s="5"/>
      <c r="AA107" s="5"/>
      <c r="AB107" s="5"/>
    </row>
    <row r="108">
      <c r="B108" s="11" t="str">
        <f>Movies!C108</f>
        <v>Adventure, Family, Fantasy</v>
      </c>
      <c r="C108" s="11" t="str">
        <f>IFERROR(__xludf.DUMMYFUNCTION("ARRAYFORMULA(TRIM(SPLIT(B108, "","")))
"),"Adventure")</f>
        <v>Adventure</v>
      </c>
      <c r="D108" s="11" t="str">
        <f>IFERROR(__xludf.DUMMYFUNCTION("""COMPUTED_VALUE"""),"Family")</f>
        <v>Family</v>
      </c>
      <c r="E108" s="11" t="str">
        <f>IFERROR(__xludf.DUMMYFUNCTION("""COMPUTED_VALUE"""),"Fantasy")</f>
        <v>Fantasy</v>
      </c>
      <c r="J108" s="58"/>
      <c r="S108" s="31">
        <f>IFERROR(__xludf.DUMMYFUNCTION("""COMPUTED_VALUE"""),46145.0)</f>
        <v>46145</v>
      </c>
      <c r="T108" s="34">
        <f>COUNTIF(Movies!N:N, S108)</f>
        <v>1</v>
      </c>
      <c r="U108" s="11">
        <f t="shared" si="2"/>
        <v>265</v>
      </c>
      <c r="W108" s="51">
        <f>IFERROR(__xludf.DUMMYFUNCTION("""COMPUTED_VALUE"""),41187.0)</f>
        <v>41187</v>
      </c>
      <c r="X108" s="40">
        <f>IFERROR(__xludf.DUMMYFUNCTION("FILTER(
  Movies!F108:F1000,
  DATEVALUE(Movies!B108:B1000) = W108
)
"),7.033333333333334)</f>
        <v>7.033333333</v>
      </c>
      <c r="Y108" s="5"/>
      <c r="Z108" s="5"/>
      <c r="AA108" s="5"/>
      <c r="AB108" s="5"/>
    </row>
    <row r="109">
      <c r="B109" s="11" t="str">
        <f>Movies!C109</f>
        <v>Action, Thriller</v>
      </c>
      <c r="C109" s="11" t="str">
        <f>IFERROR(__xludf.DUMMYFUNCTION("ARRAYFORMULA(TRIM(SPLIT(B109, "","")))
"),"Action")</f>
        <v>Action</v>
      </c>
      <c r="D109" s="11" t="str">
        <f>IFERROR(__xludf.DUMMYFUNCTION("""COMPUTED_VALUE"""),"Thriller")</f>
        <v>Thriller</v>
      </c>
      <c r="J109" s="58"/>
      <c r="S109" s="31">
        <f>IFERROR(__xludf.DUMMYFUNCTION("""COMPUTED_VALUE"""),46148.0)</f>
        <v>46148</v>
      </c>
      <c r="T109" s="34">
        <f>COUNTIF(Movies!N:N, S109)</f>
        <v>1</v>
      </c>
      <c r="U109" s="11">
        <f t="shared" si="2"/>
        <v>266</v>
      </c>
      <c r="W109" s="51">
        <f>IFERROR(__xludf.DUMMYFUNCTION("""COMPUTED_VALUE"""),41222.0)</f>
        <v>41222</v>
      </c>
      <c r="X109" s="40">
        <f>IFERROR(__xludf.DUMMYFUNCTION("FILTER(
  Movies!F109:F1000,
  DATEVALUE(Movies!B109:B1000) = W109
)
"),7.883333333333333)</f>
        <v>7.883333333</v>
      </c>
      <c r="Y109" s="5"/>
      <c r="Z109" s="5"/>
      <c r="AA109" s="5"/>
      <c r="AB109" s="5"/>
    </row>
    <row r="110">
      <c r="B110" s="11" t="str">
        <f>Movies!C110</f>
        <v>Adventure, Comedy, Family</v>
      </c>
      <c r="C110" s="11" t="str">
        <f>IFERROR(__xludf.DUMMYFUNCTION("ARRAYFORMULA(TRIM(SPLIT(B110, "","")))
"),"Adventure")</f>
        <v>Adventure</v>
      </c>
      <c r="D110" s="11" t="str">
        <f>IFERROR(__xludf.DUMMYFUNCTION("""COMPUTED_VALUE"""),"Comedy")</f>
        <v>Comedy</v>
      </c>
      <c r="E110" s="11" t="str">
        <f>IFERROR(__xludf.DUMMYFUNCTION("""COMPUTED_VALUE"""),"Family")</f>
        <v>Family</v>
      </c>
      <c r="J110" s="58"/>
      <c r="S110" s="31">
        <f>IFERROR(__xludf.DUMMYFUNCTION("""COMPUTED_VALUE"""),46153.0)</f>
        <v>46153</v>
      </c>
      <c r="T110" s="34">
        <f>COUNTIF(Movies!N:N, S110)</f>
        <v>3</v>
      </c>
      <c r="U110" s="11">
        <f t="shared" si="2"/>
        <v>269</v>
      </c>
      <c r="W110" s="51">
        <f>IFERROR(__xludf.DUMMYFUNCTION("""COMPUTED_VALUE"""),41355.0)</f>
        <v>41355</v>
      </c>
      <c r="X110" s="40">
        <f>IFERROR(__xludf.DUMMYFUNCTION("FILTER(
  Movies!F110:F1000,
  DATEVALUE(Movies!B110:B1000) = W110
)
"),5.583333333333333)</f>
        <v>5.583333333</v>
      </c>
      <c r="Y110" s="5"/>
      <c r="Z110" s="5"/>
      <c r="AA110" s="5"/>
      <c r="AB110" s="5"/>
    </row>
    <row r="111">
      <c r="B111" s="11" t="str">
        <f>Movies!C111</f>
        <v>Crime, Drama, Thriller</v>
      </c>
      <c r="C111" s="11" t="str">
        <f>IFERROR(__xludf.DUMMYFUNCTION("ARRAYFORMULA(TRIM(SPLIT(B111, "","")))
"),"Crime")</f>
        <v>Crime</v>
      </c>
      <c r="D111" s="11" t="str">
        <f>IFERROR(__xludf.DUMMYFUNCTION("""COMPUTED_VALUE"""),"Drama")</f>
        <v>Drama</v>
      </c>
      <c r="E111" s="11" t="str">
        <f>IFERROR(__xludf.DUMMYFUNCTION("""COMPUTED_VALUE"""),"Thriller")</f>
        <v>Thriller</v>
      </c>
      <c r="J111" s="58"/>
      <c r="S111" s="31">
        <f>IFERROR(__xludf.DUMMYFUNCTION("""COMPUTED_VALUE"""),46154.0)</f>
        <v>46154</v>
      </c>
      <c r="T111" s="34">
        <f>COUNTIF(Movies!N:N, S111)</f>
        <v>1</v>
      </c>
      <c r="U111" s="11">
        <f t="shared" si="2"/>
        <v>270</v>
      </c>
      <c r="W111" s="51">
        <f>IFERROR(__xludf.DUMMYFUNCTION("""COMPUTED_VALUE"""),41383.0)</f>
        <v>41383</v>
      </c>
      <c r="X111" s="40">
        <f>IFERROR(__xludf.DUMMYFUNCTION("FILTER(
  Movies!F111:F1000,
  DATEVALUE(Movies!B111:B1000) = W111
)
"),7.5)</f>
        <v>7.5</v>
      </c>
      <c r="Y111" s="5"/>
      <c r="Z111" s="5"/>
      <c r="AA111" s="5"/>
      <c r="AB111" s="5"/>
    </row>
    <row r="112">
      <c r="B112" s="11" t="str">
        <f>Movies!C112</f>
        <v>Action, Sci-Fi</v>
      </c>
      <c r="C112" s="11" t="str">
        <f>IFERROR(__xludf.DUMMYFUNCTION("ARRAYFORMULA(TRIM(SPLIT(B112, "","")))
"),"Action")</f>
        <v>Action</v>
      </c>
      <c r="D112" s="11" t="str">
        <f>IFERROR(__xludf.DUMMYFUNCTION("""COMPUTED_VALUE"""),"Sci-Fi")</f>
        <v>Sci-Fi</v>
      </c>
      <c r="J112" s="58"/>
      <c r="S112" s="31">
        <f>IFERROR(__xludf.DUMMYFUNCTION("""COMPUTED_VALUE"""),46155.0)</f>
        <v>46155</v>
      </c>
      <c r="T112" s="34">
        <f>COUNTIF(Movies!N:N, S112)</f>
        <v>1</v>
      </c>
      <c r="U112" s="11">
        <f t="shared" si="2"/>
        <v>271</v>
      </c>
      <c r="W112" s="51">
        <f>IFERROR(__xludf.DUMMYFUNCTION("""COMPUTED_VALUE"""),41397.0)</f>
        <v>41397</v>
      </c>
      <c r="X112" s="40">
        <f>IFERROR(__xludf.DUMMYFUNCTION("FILTER(
  Movies!F112:F1000,
  DATEVALUE(Movies!B112:B1000) = W112
)
"),7.05)</f>
        <v>7.05</v>
      </c>
      <c r="Y112" s="5"/>
      <c r="Z112" s="5"/>
      <c r="AA112" s="5"/>
      <c r="AB112" s="5"/>
    </row>
    <row r="113">
      <c r="B113" s="11" t="str">
        <f>Movies!C113</f>
        <v>Adventure, Comedy, Drama</v>
      </c>
      <c r="C113" s="11" t="str">
        <f>IFERROR(__xludf.DUMMYFUNCTION("ARRAYFORMULA(TRIM(SPLIT(B113, "","")))
"),"Adventure")</f>
        <v>Adventure</v>
      </c>
      <c r="D113" s="11" t="str">
        <f>IFERROR(__xludf.DUMMYFUNCTION("""COMPUTED_VALUE"""),"Comedy")</f>
        <v>Comedy</v>
      </c>
      <c r="E113" s="11" t="str">
        <f>IFERROR(__xludf.DUMMYFUNCTION("""COMPUTED_VALUE"""),"Drama")</f>
        <v>Drama</v>
      </c>
      <c r="J113" s="58"/>
      <c r="S113" s="31">
        <f>IFERROR(__xludf.DUMMYFUNCTION("""COMPUTED_VALUE"""),46156.0)</f>
        <v>46156</v>
      </c>
      <c r="T113" s="34">
        <f>COUNTIF(Movies!N:N, S113)</f>
        <v>1</v>
      </c>
      <c r="U113" s="11">
        <f t="shared" si="2"/>
        <v>272</v>
      </c>
      <c r="W113" s="51">
        <f>IFERROR(__xludf.DUMMYFUNCTION("""COMPUTED_VALUE"""),41425.0)</f>
        <v>41425</v>
      </c>
      <c r="X113" s="40">
        <f>IFERROR(__xludf.DUMMYFUNCTION("FILTER(
  Movies!F113:F1000,
  DATEVALUE(Movies!B113:B1000) = W113
)
"),7.1833333333333345)</f>
        <v>7.183333333</v>
      </c>
      <c r="Y113" s="5"/>
      <c r="Z113" s="5"/>
      <c r="AA113" s="5"/>
      <c r="AB113" s="5"/>
    </row>
    <row r="114">
      <c r="B114" s="11" t="str">
        <f>Movies!C114</f>
        <v>Action, Adventure, Drama</v>
      </c>
      <c r="C114" s="11" t="str">
        <f>IFERROR(__xludf.DUMMYFUNCTION("ARRAYFORMULA(TRIM(SPLIT(B114, "","")))
"),"Action")</f>
        <v>Action</v>
      </c>
      <c r="D114" s="11" t="str">
        <f>IFERROR(__xludf.DUMMYFUNCTION("""COMPUTED_VALUE"""),"Adventure")</f>
        <v>Adventure</v>
      </c>
      <c r="E114" s="11" t="str">
        <f>IFERROR(__xludf.DUMMYFUNCTION("""COMPUTED_VALUE"""),"Drama")</f>
        <v>Drama</v>
      </c>
      <c r="J114" s="58"/>
      <c r="S114" s="31">
        <f>IFERROR(__xludf.DUMMYFUNCTION("""COMPUTED_VALUE"""),46158.0)</f>
        <v>46158</v>
      </c>
      <c r="T114" s="34">
        <f>COUNTIF(Movies!N:N, S114)</f>
        <v>1</v>
      </c>
      <c r="U114" s="11">
        <f t="shared" si="2"/>
        <v>273</v>
      </c>
      <c r="W114" s="51">
        <f>IFERROR(__xludf.DUMMYFUNCTION("""COMPUTED_VALUE"""),41467.0)</f>
        <v>41467</v>
      </c>
      <c r="X114" s="5" t="str">
        <f>IFERROR(__xludf.DUMMYFUNCTION("FILTER(
  Movies!F114:F1000,
  DATEVALUE(Movies!B114:B1000) = W114
)
"),"#N/A")</f>
        <v>#N/A</v>
      </c>
      <c r="Y114" s="5"/>
      <c r="Z114" s="5"/>
      <c r="AA114" s="5"/>
      <c r="AB114" s="5"/>
    </row>
    <row r="115">
      <c r="B115" s="11" t="str">
        <f>Movies!C115</f>
        <v>Adventure, Family, Fantasy</v>
      </c>
      <c r="C115" s="11" t="str">
        <f>IFERROR(__xludf.DUMMYFUNCTION("ARRAYFORMULA(TRIM(SPLIT(B115, "","")))
"),"Adventure")</f>
        <v>Adventure</v>
      </c>
      <c r="D115" s="11" t="str">
        <f>IFERROR(__xludf.DUMMYFUNCTION("""COMPUTED_VALUE"""),"Family")</f>
        <v>Family</v>
      </c>
      <c r="E115" s="11" t="str">
        <f>IFERROR(__xludf.DUMMYFUNCTION("""COMPUTED_VALUE"""),"Fantasy")</f>
        <v>Fantasy</v>
      </c>
      <c r="J115" s="58"/>
      <c r="S115" s="31">
        <f>IFERROR(__xludf.DUMMYFUNCTION("""COMPUTED_VALUE"""),46159.0)</f>
        <v>46159</v>
      </c>
      <c r="T115" s="34">
        <f>COUNTIF(Movies!N:N, S115)</f>
        <v>3</v>
      </c>
      <c r="U115" s="11">
        <f t="shared" si="2"/>
        <v>276</v>
      </c>
      <c r="W115" s="51">
        <f>IFERROR(__xludf.DUMMYFUNCTION("""COMPUTED_VALUE"""),41474.0)</f>
        <v>41474</v>
      </c>
      <c r="X115" s="40">
        <f>IFERROR(__xludf.DUMMYFUNCTION("FILTER(
  Movies!F115:F1000,
  DATEVALUE(Movies!B115:B1000) = W115
)
"),5.166666666666667)</f>
        <v>5.166666667</v>
      </c>
      <c r="Y115" s="5"/>
      <c r="Z115" s="5"/>
      <c r="AA115" s="5"/>
      <c r="AB115" s="5"/>
    </row>
    <row r="116">
      <c r="B116" s="11" t="str">
        <f>Movies!C116</f>
        <v>Action, Adventure, Sci-Fi</v>
      </c>
      <c r="C116" s="11" t="str">
        <f>IFERROR(__xludf.DUMMYFUNCTION("ARRAYFORMULA(TRIM(SPLIT(B116, "","")))
"),"Action")</f>
        <v>Action</v>
      </c>
      <c r="D116" s="11" t="str">
        <f>IFERROR(__xludf.DUMMYFUNCTION("""COMPUTED_VALUE"""),"Adventure")</f>
        <v>Adventure</v>
      </c>
      <c r="E116" s="11" t="str">
        <f>IFERROR(__xludf.DUMMYFUNCTION("""COMPUTED_VALUE"""),"Sci-Fi")</f>
        <v>Sci-Fi</v>
      </c>
      <c r="J116" s="58"/>
      <c r="S116" s="31">
        <f>IFERROR(__xludf.DUMMYFUNCTION("""COMPUTED_VALUE"""),46161.0)</f>
        <v>46161</v>
      </c>
      <c r="T116" s="34">
        <f>COUNTIF(Movies!N:N, S116)</f>
        <v>1</v>
      </c>
      <c r="U116" s="11">
        <f t="shared" si="2"/>
        <v>277</v>
      </c>
      <c r="W116" s="51">
        <f>IFERROR(__xludf.DUMMYFUNCTION("""COMPUTED_VALUE"""),41493.0)</f>
        <v>41493</v>
      </c>
      <c r="X116" s="40">
        <f>IFERROR(__xludf.DUMMYFUNCTION("FILTER(
  Movies!F116:F1000,
  DATEVALUE(Movies!B116:B1000) = W116
)
"),5.033333333333333)</f>
        <v>5.033333333</v>
      </c>
      <c r="Y116" s="5"/>
      <c r="Z116" s="5"/>
      <c r="AA116" s="5"/>
      <c r="AB116" s="5"/>
    </row>
    <row r="117">
      <c r="B117" s="11" t="str">
        <f>Movies!C117</f>
        <v>Comedy, Family, Fantasy</v>
      </c>
      <c r="C117" s="11" t="str">
        <f>IFERROR(__xludf.DUMMYFUNCTION("ARRAYFORMULA(TRIM(SPLIT(B117, "","")))
"),"Comedy")</f>
        <v>Comedy</v>
      </c>
      <c r="D117" s="11" t="str">
        <f>IFERROR(__xludf.DUMMYFUNCTION("""COMPUTED_VALUE"""),"Family")</f>
        <v>Family</v>
      </c>
      <c r="E117" s="11" t="str">
        <f>IFERROR(__xludf.DUMMYFUNCTION("""COMPUTED_VALUE"""),"Fantasy")</f>
        <v>Fantasy</v>
      </c>
      <c r="J117" s="58"/>
      <c r="S117" s="31">
        <f>IFERROR(__xludf.DUMMYFUNCTION("""COMPUTED_VALUE"""),46177.0)</f>
        <v>46177</v>
      </c>
      <c r="T117" s="34">
        <f>COUNTIF(Movies!N:N, S117)</f>
        <v>1</v>
      </c>
      <c r="U117" s="11">
        <f t="shared" si="2"/>
        <v>278</v>
      </c>
      <c r="W117" s="51">
        <f>IFERROR(__xludf.DUMMYFUNCTION("""COMPUTED_VALUE"""),41586.0)</f>
        <v>41586</v>
      </c>
      <c r="X117" s="40">
        <f>IFERROR(__xludf.DUMMYFUNCTION("FILTER(
  Movies!F117:F1000,
  DATEVALUE(Movies!B117:B1000) = W117
)
"),7.45)</f>
        <v>7.45</v>
      </c>
      <c r="Y117" s="5"/>
      <c r="Z117" s="5"/>
      <c r="AA117" s="5"/>
      <c r="AB117" s="5"/>
    </row>
    <row r="118">
      <c r="B118" s="11" t="str">
        <f>Movies!C118</f>
        <v>Drama, Romance</v>
      </c>
      <c r="C118" s="11" t="str">
        <f>IFERROR(__xludf.DUMMYFUNCTION("ARRAYFORMULA(TRIM(SPLIT(B118, "","")))
"),"Drama")</f>
        <v>Drama</v>
      </c>
      <c r="D118" s="11" t="str">
        <f>IFERROR(__xludf.DUMMYFUNCTION("""COMPUTED_VALUE"""),"Romance")</f>
        <v>Romance</v>
      </c>
      <c r="J118" s="58"/>
      <c r="S118" s="31">
        <f>IFERROR(__xludf.DUMMYFUNCTION("""COMPUTED_VALUE"""),46178.0)</f>
        <v>46178</v>
      </c>
      <c r="T118" s="34">
        <f>COUNTIF(Movies!N:N, S118)</f>
        <v>1</v>
      </c>
      <c r="U118" s="11">
        <f t="shared" si="2"/>
        <v>279</v>
      </c>
      <c r="W118" s="51">
        <f>IFERROR(__xludf.DUMMYFUNCTION("""COMPUTED_VALUE"""),41600.0)</f>
        <v>41600</v>
      </c>
      <c r="X118" s="5" t="str">
        <f>IFERROR(__xludf.DUMMYFUNCTION("FILTER(
  Movies!F118:F1000,
  DATEVALUE(Movies!B118:B1000) = W118
)
"),"#N/A")</f>
        <v>#N/A</v>
      </c>
      <c r="Y118" s="5"/>
      <c r="Z118" s="5"/>
      <c r="AA118" s="5"/>
      <c r="AB118" s="5"/>
    </row>
    <row r="119">
      <c r="B119" s="11" t="str">
        <f>Movies!C119</f>
        <v>Action, Adventure, Comedy</v>
      </c>
      <c r="C119" s="11" t="str">
        <f>IFERROR(__xludf.DUMMYFUNCTION("ARRAYFORMULA(TRIM(SPLIT(B119, "","")))
"),"Action")</f>
        <v>Action</v>
      </c>
      <c r="D119" s="11" t="str">
        <f>IFERROR(__xludf.DUMMYFUNCTION("""COMPUTED_VALUE"""),"Adventure")</f>
        <v>Adventure</v>
      </c>
      <c r="E119" s="11" t="str">
        <f>IFERROR(__xludf.DUMMYFUNCTION("""COMPUTED_VALUE"""),"Comedy")</f>
        <v>Comedy</v>
      </c>
      <c r="J119" s="58"/>
      <c r="S119" s="31">
        <f>IFERROR(__xludf.DUMMYFUNCTION("""COMPUTED_VALUE"""),46187.0)</f>
        <v>46187</v>
      </c>
      <c r="T119" s="34">
        <f>COUNTIF(Movies!N:N, S119)</f>
        <v>4</v>
      </c>
      <c r="U119" s="11">
        <f t="shared" si="2"/>
        <v>283</v>
      </c>
      <c r="W119" s="51">
        <f>IFERROR(__xludf.DUMMYFUNCTION("""COMPUTED_VALUE"""),41649.0)</f>
        <v>41649</v>
      </c>
      <c r="X119" s="5" t="str">
        <f>IFERROR(__xludf.DUMMYFUNCTION("FILTER(
  Movies!F119:F1000,
  DATEVALUE(Movies!B119:B1000) = W119
)
"),"#N/A")</f>
        <v>#N/A</v>
      </c>
      <c r="Y119" s="5"/>
      <c r="Z119" s="5"/>
      <c r="AA119" s="5"/>
      <c r="AB119" s="5"/>
    </row>
    <row r="120">
      <c r="B120" s="11" t="str">
        <f>Movies!C120</f>
        <v>Action, Crime, Thriller</v>
      </c>
      <c r="C120" s="11" t="str">
        <f>IFERROR(__xludf.DUMMYFUNCTION("ARRAYFORMULA(TRIM(SPLIT(B120, "","")))
"),"Action")</f>
        <v>Action</v>
      </c>
      <c r="D120" s="11" t="str">
        <f>IFERROR(__xludf.DUMMYFUNCTION("""COMPUTED_VALUE"""),"Crime")</f>
        <v>Crime</v>
      </c>
      <c r="E120" s="11" t="str">
        <f>IFERROR(__xludf.DUMMYFUNCTION("""COMPUTED_VALUE"""),"Thriller")</f>
        <v>Thriller</v>
      </c>
      <c r="J120" s="58"/>
      <c r="S120" s="31">
        <f>IFERROR(__xludf.DUMMYFUNCTION("""COMPUTED_VALUE"""),46194.0)</f>
        <v>46194</v>
      </c>
      <c r="T120" s="34">
        <f>COUNTIF(Movies!N:N, S120)</f>
        <v>4</v>
      </c>
      <c r="U120" s="11">
        <f t="shared" si="2"/>
        <v>287</v>
      </c>
      <c r="W120" s="51">
        <f>IFERROR(__xludf.DUMMYFUNCTION("""COMPUTED_VALUE"""),41677.0)</f>
        <v>41677</v>
      </c>
      <c r="X120" s="40">
        <f>IFERROR(__xludf.DUMMYFUNCTION("FILTER(
  Movies!F120:F1000,
  DATEVALUE(Movies!B120:B1000) = W120
)
"),6.633333333333333)</f>
        <v>6.633333333</v>
      </c>
      <c r="Y120" s="5"/>
      <c r="Z120" s="5"/>
      <c r="AA120" s="5"/>
      <c r="AB120" s="5"/>
    </row>
    <row r="121">
      <c r="B121" s="11" t="str">
        <f>Movies!C121</f>
        <v>Action, Adventure, Fantasy</v>
      </c>
      <c r="C121" s="11" t="str">
        <f>IFERROR(__xludf.DUMMYFUNCTION("ARRAYFORMULA(TRIM(SPLIT(B121, "","")))
"),"Action")</f>
        <v>Action</v>
      </c>
      <c r="D121" s="11" t="str">
        <f>IFERROR(__xludf.DUMMYFUNCTION("""COMPUTED_VALUE"""),"Adventure")</f>
        <v>Adventure</v>
      </c>
      <c r="E121" s="11" t="str">
        <f>IFERROR(__xludf.DUMMYFUNCTION("""COMPUTED_VALUE"""),"Fantasy")</f>
        <v>Fantasy</v>
      </c>
      <c r="J121" s="58"/>
      <c r="S121" s="31">
        <f>IFERROR(__xludf.DUMMYFUNCTION("""COMPUTED_VALUE"""),46200.0)</f>
        <v>46200</v>
      </c>
      <c r="T121" s="34">
        <f>COUNTIF(Movies!N:N, S121)</f>
        <v>1</v>
      </c>
      <c r="U121" s="11">
        <f t="shared" si="2"/>
        <v>288</v>
      </c>
      <c r="W121" s="51">
        <f>IFERROR(__xludf.DUMMYFUNCTION("""COMPUTED_VALUE"""),41705.0)</f>
        <v>41705</v>
      </c>
      <c r="X121" s="40">
        <f>IFERROR(__xludf.DUMMYFUNCTION("FILTER(
  Movies!F121:F1000,
  DATEVALUE(Movies!B121:B1000) = W121
)
"),5.783333333333334)</f>
        <v>5.783333333</v>
      </c>
      <c r="Y121" s="5"/>
      <c r="Z121" s="5"/>
      <c r="AA121" s="5"/>
      <c r="AB121" s="5"/>
    </row>
    <row r="122">
      <c r="B122" s="11" t="str">
        <f>Movies!C122</f>
        <v>Action, Adventure, Thriller</v>
      </c>
      <c r="C122" s="11" t="str">
        <f>IFERROR(__xludf.DUMMYFUNCTION("ARRAYFORMULA(TRIM(SPLIT(B122, "","")))
"),"Action")</f>
        <v>Action</v>
      </c>
      <c r="D122" s="11" t="str">
        <f>IFERROR(__xludf.DUMMYFUNCTION("""COMPUTED_VALUE"""),"Adventure")</f>
        <v>Adventure</v>
      </c>
      <c r="E122" s="11" t="str">
        <f>IFERROR(__xludf.DUMMYFUNCTION("""COMPUTED_VALUE"""),"Thriller")</f>
        <v>Thriller</v>
      </c>
      <c r="J122" s="58"/>
      <c r="S122" s="31">
        <f>IFERROR(__xludf.DUMMYFUNCTION("""COMPUTED_VALUE"""),46201.0)</f>
        <v>46201</v>
      </c>
      <c r="T122" s="34">
        <f>COUNTIF(Movies!N:N, S122)</f>
        <v>1</v>
      </c>
      <c r="U122" s="11">
        <f t="shared" si="2"/>
        <v>289</v>
      </c>
      <c r="W122" s="51">
        <f>IFERROR(__xludf.DUMMYFUNCTION("""COMPUTED_VALUE"""),41719.0)</f>
        <v>41719</v>
      </c>
      <c r="X122" s="40">
        <f>IFERROR(__xludf.DUMMYFUNCTION("FILTER(
  Movies!F122:F1000,
  DATEVALUE(Movies!B122:B1000) = W122
)
"),7.666666666666667)</f>
        <v>7.666666667</v>
      </c>
      <c r="Y122" s="5"/>
      <c r="Z122" s="5"/>
      <c r="AA122" s="5"/>
      <c r="AB122" s="5"/>
    </row>
    <row r="123">
      <c r="B123" s="11" t="str">
        <f>Movies!C123</f>
        <v>Action, Drama</v>
      </c>
      <c r="C123" s="11" t="str">
        <f>IFERROR(__xludf.DUMMYFUNCTION("ARRAYFORMULA(TRIM(SPLIT(B123, "","")))
"),"Action")</f>
        <v>Action</v>
      </c>
      <c r="D123" s="11" t="str">
        <f>IFERROR(__xludf.DUMMYFUNCTION("""COMPUTED_VALUE"""),"Drama")</f>
        <v>Drama</v>
      </c>
      <c r="J123" s="58"/>
      <c r="S123" s="31">
        <f>IFERROR(__xludf.DUMMYFUNCTION("""COMPUTED_VALUE"""),46203.0)</f>
        <v>46203</v>
      </c>
      <c r="T123" s="34">
        <f>COUNTIF(Movies!N:N, S123)</f>
        <v>1</v>
      </c>
      <c r="U123" s="11">
        <f t="shared" si="2"/>
        <v>290</v>
      </c>
      <c r="W123" s="51">
        <f>IFERROR(__xludf.DUMMYFUNCTION("""COMPUTED_VALUE"""),41733.0)</f>
        <v>41733</v>
      </c>
      <c r="X123" s="40">
        <f>IFERROR(__xludf.DUMMYFUNCTION("FILTER(
  Movies!F123:F1000,
  DATEVALUE(Movies!B123:B1000) = W123
)
"),7.8500000000000005)</f>
        <v>7.85</v>
      </c>
      <c r="Y123" s="5"/>
      <c r="Z123" s="5"/>
      <c r="AA123" s="5"/>
      <c r="AB123" s="5"/>
    </row>
    <row r="124">
      <c r="B124" s="11" t="str">
        <f>Movies!C124</f>
        <v>Action, Drama, Sci-Fi</v>
      </c>
      <c r="C124" s="11" t="str">
        <f>IFERROR(__xludf.DUMMYFUNCTION("ARRAYFORMULA(TRIM(SPLIT(B124, "","")))
"),"Action")</f>
        <v>Action</v>
      </c>
      <c r="D124" s="11" t="str">
        <f>IFERROR(__xludf.DUMMYFUNCTION("""COMPUTED_VALUE"""),"Drama")</f>
        <v>Drama</v>
      </c>
      <c r="E124" s="11" t="str">
        <f>IFERROR(__xludf.DUMMYFUNCTION("""COMPUTED_VALUE"""),"Sci-Fi")</f>
        <v>Sci-Fi</v>
      </c>
      <c r="J124" s="58"/>
      <c r="S124" s="31">
        <f>IFERROR(__xludf.DUMMYFUNCTION("""COMPUTED_VALUE"""),46204.0)</f>
        <v>46204</v>
      </c>
      <c r="T124" s="34">
        <f>COUNTIF(Movies!N:N, S124)</f>
        <v>1</v>
      </c>
      <c r="U124" s="11">
        <f t="shared" si="2"/>
        <v>291</v>
      </c>
      <c r="W124" s="51">
        <f>IFERROR(__xludf.DUMMYFUNCTION("""COMPUTED_VALUE"""),41747.0)</f>
        <v>41747</v>
      </c>
      <c r="X124" s="5" t="str">
        <f>IFERROR(__xludf.DUMMYFUNCTION("FILTER(
  Movies!F124:F1000,
  DATEVALUE(Movies!B124:B1000) = W124
)
"),"#N/A")</f>
        <v>#N/A</v>
      </c>
      <c r="Y124" s="5"/>
      <c r="Z124" s="5"/>
      <c r="AA124" s="5"/>
      <c r="AB124" s="5"/>
    </row>
    <row r="125">
      <c r="B125" s="11" t="str">
        <f>Movies!C125</f>
        <v>Action, Adventure, Sci-Fi</v>
      </c>
      <c r="C125" s="11" t="str">
        <f>IFERROR(__xludf.DUMMYFUNCTION("ARRAYFORMULA(TRIM(SPLIT(B125, "","")))
"),"Action")</f>
        <v>Action</v>
      </c>
      <c r="D125" s="11" t="str">
        <f>IFERROR(__xludf.DUMMYFUNCTION("""COMPUTED_VALUE"""),"Adventure")</f>
        <v>Adventure</v>
      </c>
      <c r="E125" s="11" t="str">
        <f>IFERROR(__xludf.DUMMYFUNCTION("""COMPUTED_VALUE"""),"Sci-Fi")</f>
        <v>Sci-Fi</v>
      </c>
      <c r="J125" s="58"/>
      <c r="S125" s="31">
        <f>IFERROR(__xludf.DUMMYFUNCTION("""COMPUTED_VALUE"""),46206.0)</f>
        <v>46206</v>
      </c>
      <c r="T125" s="34">
        <f>COUNTIF(Movies!N:N, S125)</f>
        <v>1</v>
      </c>
      <c r="U125" s="11">
        <f t="shared" si="2"/>
        <v>292</v>
      </c>
      <c r="W125" s="51">
        <f>IFERROR(__xludf.DUMMYFUNCTION("""COMPUTED_VALUE"""),41761.0)</f>
        <v>41761</v>
      </c>
      <c r="X125" s="40">
        <f>IFERROR(__xludf.DUMMYFUNCTION("FILTER(
  Movies!F125:F1000,
  DATEVALUE(Movies!B125:B1000) = W125
)
"),7.583333333333333)</f>
        <v>7.583333333</v>
      </c>
      <c r="Y125" s="5"/>
      <c r="Z125" s="5"/>
      <c r="AA125" s="5"/>
      <c r="AB125" s="5"/>
    </row>
    <row r="126">
      <c r="B126" s="11" t="str">
        <f>Movies!C126</f>
        <v>Action, Adventure, Family</v>
      </c>
      <c r="C126" s="11" t="str">
        <f>IFERROR(__xludf.DUMMYFUNCTION("ARRAYFORMULA(TRIM(SPLIT(B126, "","")))
"),"Action")</f>
        <v>Action</v>
      </c>
      <c r="D126" s="11" t="str">
        <f>IFERROR(__xludf.DUMMYFUNCTION("""COMPUTED_VALUE"""),"Adventure")</f>
        <v>Adventure</v>
      </c>
      <c r="E126" s="11" t="str">
        <f>IFERROR(__xludf.DUMMYFUNCTION("""COMPUTED_VALUE"""),"Family")</f>
        <v>Family</v>
      </c>
      <c r="J126" s="58"/>
      <c r="S126" s="31">
        <f>IFERROR(__xludf.DUMMYFUNCTION("""COMPUTED_VALUE"""),46208.0)</f>
        <v>46208</v>
      </c>
      <c r="T126" s="34">
        <f>COUNTIF(Movies!N:N, S126)</f>
        <v>1</v>
      </c>
      <c r="U126" s="11">
        <f t="shared" si="2"/>
        <v>293</v>
      </c>
      <c r="W126" s="51">
        <f>IFERROR(__xludf.DUMMYFUNCTION("""COMPUTED_VALUE"""),41796.0)</f>
        <v>41796</v>
      </c>
      <c r="X126" s="5" t="str">
        <f>IFERROR(__xludf.DUMMYFUNCTION("FILTER(
  Movies!F126:F1000,
  DATEVALUE(Movies!B126:B1000) = W126
)
"),"#N/A")</f>
        <v>#N/A</v>
      </c>
      <c r="Y126" s="5"/>
      <c r="Z126" s="5"/>
      <c r="AA126" s="5"/>
      <c r="AB126" s="5"/>
    </row>
    <row r="127">
      <c r="B127" s="11" t="str">
        <f>Movies!C127</f>
        <v>Action, Adventure, Family</v>
      </c>
      <c r="C127" s="11" t="str">
        <f>IFERROR(__xludf.DUMMYFUNCTION("ARRAYFORMULA(TRIM(SPLIT(B127, "","")))
"),"Action")</f>
        <v>Action</v>
      </c>
      <c r="D127" s="11" t="str">
        <f>IFERROR(__xludf.DUMMYFUNCTION("""COMPUTED_VALUE"""),"Adventure")</f>
        <v>Adventure</v>
      </c>
      <c r="E127" s="11" t="str">
        <f>IFERROR(__xludf.DUMMYFUNCTION("""COMPUTED_VALUE"""),"Family")</f>
        <v>Family</v>
      </c>
      <c r="J127" s="58"/>
      <c r="S127" s="31">
        <f>IFERROR(__xludf.DUMMYFUNCTION("""COMPUTED_VALUE"""),46211.0)</f>
        <v>46211</v>
      </c>
      <c r="T127" s="34">
        <f>COUNTIF(Movies!N:N, S127)</f>
        <v>1</v>
      </c>
      <c r="U127" s="11">
        <f t="shared" si="2"/>
        <v>294</v>
      </c>
      <c r="W127" s="51">
        <f>IFERROR(__xludf.DUMMYFUNCTION("""COMPUTED_VALUE"""),41803.0)</f>
        <v>41803</v>
      </c>
      <c r="X127" s="40">
        <f>IFERROR(__xludf.DUMMYFUNCTION("FILTER(
  Movies!F127:F1000,
  DATEVALUE(Movies!B127:B1000) = W127
)
"),6.949999999999999)</f>
        <v>6.95</v>
      </c>
      <c r="Y127" s="5"/>
      <c r="Z127" s="5"/>
      <c r="AA127" s="5"/>
      <c r="AB127" s="5"/>
    </row>
    <row r="128">
      <c r="B128" s="11" t="str">
        <f>Movies!C128</f>
        <v>Action, Mystery, Thriller</v>
      </c>
      <c r="C128" s="11" t="str">
        <f>IFERROR(__xludf.DUMMYFUNCTION("ARRAYFORMULA(TRIM(SPLIT(B128, "","")))
"),"Action")</f>
        <v>Action</v>
      </c>
      <c r="D128" s="11" t="str">
        <f>IFERROR(__xludf.DUMMYFUNCTION("""COMPUTED_VALUE"""),"Mystery")</f>
        <v>Mystery</v>
      </c>
      <c r="E128" s="11" t="str">
        <f>IFERROR(__xludf.DUMMYFUNCTION("""COMPUTED_VALUE"""),"Thriller")</f>
        <v>Thriller</v>
      </c>
      <c r="J128" s="58"/>
      <c r="S128" s="31">
        <f>IFERROR(__xludf.DUMMYFUNCTION("""COMPUTED_VALUE"""),46212.0)</f>
        <v>46212</v>
      </c>
      <c r="T128" s="34">
        <f>COUNTIF(Movies!N:N, S128)</f>
        <v>2</v>
      </c>
      <c r="U128" s="11">
        <f t="shared" si="2"/>
        <v>296</v>
      </c>
      <c r="W128" s="51">
        <f>IFERROR(__xludf.DUMMYFUNCTION("""COMPUTED_VALUE"""),41817.0)</f>
        <v>41817</v>
      </c>
      <c r="X128" s="40">
        <f>IFERROR(__xludf.DUMMYFUNCTION("FILTER(
  Movies!F128:F1000,
  DATEVALUE(Movies!B128:B1000) = W128
)
"),7.166666666666667)</f>
        <v>7.166666667</v>
      </c>
      <c r="Y128" s="5"/>
      <c r="Z128" s="5"/>
      <c r="AA128" s="5"/>
      <c r="AB128" s="5"/>
    </row>
    <row r="129">
      <c r="B129" s="11" t="str">
        <f>Movies!C129</f>
        <v>Horror, Sci-Fi, Thriller</v>
      </c>
      <c r="C129" s="11" t="str">
        <f>IFERROR(__xludf.DUMMYFUNCTION("ARRAYFORMULA(TRIM(SPLIT(B129, "","")))
"),"Horror")</f>
        <v>Horror</v>
      </c>
      <c r="D129" s="11" t="str">
        <f>IFERROR(__xludf.DUMMYFUNCTION("""COMPUTED_VALUE"""),"Sci-Fi")</f>
        <v>Sci-Fi</v>
      </c>
      <c r="E129" s="11" t="str">
        <f>IFERROR(__xludf.DUMMYFUNCTION("""COMPUTED_VALUE"""),"Thriller")</f>
        <v>Thriller</v>
      </c>
      <c r="J129" s="58"/>
      <c r="S129" s="31">
        <f>IFERROR(__xludf.DUMMYFUNCTION("""COMPUTED_VALUE"""),46221.0)</f>
        <v>46221</v>
      </c>
      <c r="T129" s="34">
        <f>COUNTIF(Movies!N:N, S129)</f>
        <v>1</v>
      </c>
      <c r="U129" s="11">
        <f t="shared" si="2"/>
        <v>297</v>
      </c>
      <c r="W129" s="51">
        <f>IFERROR(__xludf.DUMMYFUNCTION("""COMPUTED_VALUE"""),41831.0)</f>
        <v>41831</v>
      </c>
      <c r="X129" s="40">
        <f>IFERROR(__xludf.DUMMYFUNCTION("FILTER(
  Movies!F129:F1000,
  DATEVALUE(Movies!B129:B1000) = W129
)
"),7.016666666666667)</f>
        <v>7.016666667</v>
      </c>
      <c r="Y129" s="5"/>
      <c r="Z129" s="5"/>
      <c r="AA129" s="5"/>
      <c r="AB129" s="5"/>
    </row>
    <row r="130">
      <c r="B130" s="11" t="str">
        <f>Movies!C130</f>
        <v>Drama, Mystery, Thriller</v>
      </c>
      <c r="C130" s="11" t="str">
        <f>IFERROR(__xludf.DUMMYFUNCTION("ARRAYFORMULA(TRIM(SPLIT(B130, "","")))
"),"Drama")</f>
        <v>Drama</v>
      </c>
      <c r="D130" s="11" t="str">
        <f>IFERROR(__xludf.DUMMYFUNCTION("""COMPUTED_VALUE"""),"Mystery")</f>
        <v>Mystery</v>
      </c>
      <c r="E130" s="11" t="str">
        <f>IFERROR(__xludf.DUMMYFUNCTION("""COMPUTED_VALUE"""),"Thriller")</f>
        <v>Thriller</v>
      </c>
      <c r="J130" s="58"/>
      <c r="S130" s="31">
        <f>IFERROR(__xludf.DUMMYFUNCTION("""COMPUTED_VALUE"""),46224.0)</f>
        <v>46224</v>
      </c>
      <c r="T130" s="34">
        <f>COUNTIF(Movies!N:N, S130)</f>
        <v>1</v>
      </c>
      <c r="U130" s="11">
        <f t="shared" si="2"/>
        <v>298</v>
      </c>
      <c r="W130" s="51">
        <f>IFERROR(__xludf.DUMMYFUNCTION("""COMPUTED_VALUE"""),41852.0)</f>
        <v>41852</v>
      </c>
      <c r="X130" s="5" t="str">
        <f>IFERROR(__xludf.DUMMYFUNCTION("FILTER(
  Movies!F130:F1000,
  DATEVALUE(Movies!B130:B1000) = W130
)
"),"#N/A")</f>
        <v>#N/A</v>
      </c>
      <c r="Y130" s="5"/>
      <c r="Z130" s="5"/>
      <c r="AA130" s="5"/>
      <c r="AB130" s="5"/>
    </row>
    <row r="131">
      <c r="B131" s="11" t="str">
        <f>Movies!C131</f>
        <v>Action, Mystery, Thriller</v>
      </c>
      <c r="C131" s="11" t="str">
        <f>IFERROR(__xludf.DUMMYFUNCTION("ARRAYFORMULA(TRIM(SPLIT(B131, "","")))
"),"Action")</f>
        <v>Action</v>
      </c>
      <c r="D131" s="11" t="str">
        <f>IFERROR(__xludf.DUMMYFUNCTION("""COMPUTED_VALUE"""),"Mystery")</f>
        <v>Mystery</v>
      </c>
      <c r="E131" s="11" t="str">
        <f>IFERROR(__xludf.DUMMYFUNCTION("""COMPUTED_VALUE"""),"Thriller")</f>
        <v>Thriller</v>
      </c>
      <c r="J131" s="58"/>
      <c r="S131" s="31">
        <f>IFERROR(__xludf.DUMMYFUNCTION("""COMPUTED_VALUE"""),46229.0)</f>
        <v>46229</v>
      </c>
      <c r="T131" s="34">
        <f>COUNTIF(Movies!N:N, S131)</f>
        <v>1</v>
      </c>
      <c r="U131" s="11">
        <f t="shared" si="2"/>
        <v>299</v>
      </c>
      <c r="W131" s="51">
        <f>IFERROR(__xludf.DUMMYFUNCTION("""COMPUTED_VALUE"""),41901.0)</f>
        <v>41901</v>
      </c>
      <c r="X131" s="5" t="str">
        <f>IFERROR(__xludf.DUMMYFUNCTION("FILTER(
  Movies!F131:F1000,
  DATEVALUE(Movies!B131:B1000) = W131
)
"),"#N/A")</f>
        <v>#N/A</v>
      </c>
      <c r="Y131" s="5"/>
      <c r="Z131" s="5"/>
      <c r="AA131" s="5"/>
      <c r="AB131" s="5"/>
    </row>
    <row r="132">
      <c r="B132" s="11" t="str">
        <f>Movies!C132</f>
        <v>Action, Drama, Sci-Fi</v>
      </c>
      <c r="C132" s="11" t="str">
        <f>IFERROR(__xludf.DUMMYFUNCTION("ARRAYFORMULA(TRIM(SPLIT(B132, "","")))
"),"Action")</f>
        <v>Action</v>
      </c>
      <c r="D132" s="11" t="str">
        <f>IFERROR(__xludf.DUMMYFUNCTION("""COMPUTED_VALUE"""),"Drama")</f>
        <v>Drama</v>
      </c>
      <c r="E132" s="11" t="str">
        <f>IFERROR(__xludf.DUMMYFUNCTION("""COMPUTED_VALUE"""),"Sci-Fi")</f>
        <v>Sci-Fi</v>
      </c>
      <c r="J132" s="58"/>
      <c r="S132" s="31">
        <f>IFERROR(__xludf.DUMMYFUNCTION("""COMPUTED_VALUE"""),46235.0)</f>
        <v>46235</v>
      </c>
      <c r="W132" s="51">
        <f>IFERROR(__xludf.DUMMYFUNCTION("""COMPUTED_VALUE"""),41908.0)</f>
        <v>41908</v>
      </c>
      <c r="X132" s="5" t="str">
        <f>IFERROR(__xludf.DUMMYFUNCTION("FILTER(
  Movies!F132:F1000,
  DATEVALUE(Movies!B132:B1000) = W132
)
"),"#N/A")</f>
        <v>#N/A</v>
      </c>
      <c r="Y132" s="5"/>
      <c r="Z132" s="5"/>
      <c r="AA132" s="5"/>
      <c r="AB132" s="5"/>
    </row>
    <row r="133">
      <c r="B133" s="11" t="str">
        <f>Movies!C133</f>
        <v>Action, Adventure, Drama</v>
      </c>
      <c r="C133" s="11" t="str">
        <f>IFERROR(__xludf.DUMMYFUNCTION("ARRAYFORMULA(TRIM(SPLIT(B133, "","")))
"),"Action")</f>
        <v>Action</v>
      </c>
      <c r="D133" s="11" t="str">
        <f>IFERROR(__xludf.DUMMYFUNCTION("""COMPUTED_VALUE"""),"Adventure")</f>
        <v>Adventure</v>
      </c>
      <c r="E133" s="11" t="str">
        <f>IFERROR(__xludf.DUMMYFUNCTION("""COMPUTED_VALUE"""),"Drama")</f>
        <v>Drama</v>
      </c>
      <c r="J133" s="58"/>
      <c r="S133" s="31">
        <f>IFERROR(__xludf.DUMMYFUNCTION("""COMPUTED_VALUE"""),46236.0)</f>
        <v>46236</v>
      </c>
      <c r="W133" s="51">
        <f>IFERROR(__xludf.DUMMYFUNCTION("""COMPUTED_VALUE"""),41927.0)</f>
        <v>41927</v>
      </c>
      <c r="X133" s="5" t="str">
        <f>IFERROR(__xludf.DUMMYFUNCTION("FILTER(
  Movies!F133:F1000,
  DATEVALUE(Movies!B133:B1000) = W133
)
"),"#N/A")</f>
        <v>#N/A</v>
      </c>
      <c r="Y133" s="5"/>
      <c r="Z133" s="5"/>
      <c r="AA133" s="5"/>
      <c r="AB133" s="5"/>
    </row>
    <row r="134">
      <c r="B134" s="11" t="str">
        <f>Movies!C134</f>
        <v>Biography, Drama, Romance</v>
      </c>
      <c r="C134" s="11" t="str">
        <f>IFERROR(__xludf.DUMMYFUNCTION("ARRAYFORMULA(TRIM(SPLIT(B134, "","")))
"),"Biography")</f>
        <v>Biography</v>
      </c>
      <c r="D134" s="11" t="str">
        <f>IFERROR(__xludf.DUMMYFUNCTION("""COMPUTED_VALUE"""),"Drama")</f>
        <v>Drama</v>
      </c>
      <c r="E134" s="11" t="str">
        <f>IFERROR(__xludf.DUMMYFUNCTION("""COMPUTED_VALUE"""),"Romance")</f>
        <v>Romance</v>
      </c>
      <c r="J134" s="58"/>
      <c r="S134" s="31">
        <f>IFERROR(__xludf.DUMMYFUNCTION("""COMPUTED_VALUE"""),46237.0)</f>
        <v>46237</v>
      </c>
      <c r="W134" s="51">
        <f>IFERROR(__xludf.DUMMYFUNCTION("""COMPUTED_VALUE"""),41929.0)</f>
        <v>41929</v>
      </c>
      <c r="X134" s="5" t="str">
        <f>IFERROR(__xludf.DUMMYFUNCTION("FILTER(
  Movies!F134:F1000,
  DATEVALUE(Movies!B134:B1000) = W134
)
"),"#N/A")</f>
        <v>#N/A</v>
      </c>
      <c r="Y134" s="5"/>
      <c r="Z134" s="5"/>
      <c r="AA134" s="5"/>
      <c r="AB134" s="5"/>
    </row>
    <row r="135">
      <c r="B135" s="11" t="str">
        <f>Movies!C135</f>
        <v>Action, Adventure, Comedy</v>
      </c>
      <c r="C135" s="11" t="str">
        <f>IFERROR(__xludf.DUMMYFUNCTION("ARRAYFORMULA(TRIM(SPLIT(B135, "","")))
"),"Action")</f>
        <v>Action</v>
      </c>
      <c r="D135" s="11" t="str">
        <f>IFERROR(__xludf.DUMMYFUNCTION("""COMPUTED_VALUE"""),"Adventure")</f>
        <v>Adventure</v>
      </c>
      <c r="E135" s="11" t="str">
        <f>IFERROR(__xludf.DUMMYFUNCTION("""COMPUTED_VALUE"""),"Comedy")</f>
        <v>Comedy</v>
      </c>
      <c r="J135" s="58"/>
      <c r="S135" s="31">
        <f>IFERROR(__xludf.DUMMYFUNCTION("""COMPUTED_VALUE"""),46239.0)</f>
        <v>46239</v>
      </c>
      <c r="W135" s="51">
        <f>IFERROR(__xludf.DUMMYFUNCTION("""COMPUTED_VALUE"""),41943.0)</f>
        <v>41943</v>
      </c>
      <c r="X135" s="5" t="str">
        <f>IFERROR(__xludf.DUMMYFUNCTION("FILTER(
  Movies!F135:F1000,
  DATEVALUE(Movies!B135:B1000) = W135
)
"),"#N/A")</f>
        <v>#N/A</v>
      </c>
      <c r="Y135" s="5"/>
      <c r="Z135" s="5"/>
      <c r="AA135" s="5"/>
      <c r="AB135" s="5"/>
    </row>
    <row r="136">
      <c r="B136" s="11" t="str">
        <f>Movies!C136</f>
        <v>Action, Mystery, Thriller</v>
      </c>
      <c r="C136" s="11" t="str">
        <f>IFERROR(__xludf.DUMMYFUNCTION("ARRAYFORMULA(TRIM(SPLIT(B136, "","")))
"),"Action")</f>
        <v>Action</v>
      </c>
      <c r="D136" s="11" t="str">
        <f>IFERROR(__xludf.DUMMYFUNCTION("""COMPUTED_VALUE"""),"Mystery")</f>
        <v>Mystery</v>
      </c>
      <c r="E136" s="11" t="str">
        <f>IFERROR(__xludf.DUMMYFUNCTION("""COMPUTED_VALUE"""),"Thriller")</f>
        <v>Thriller</v>
      </c>
      <c r="J136" s="58"/>
      <c r="S136" s="31">
        <f>IFERROR(__xludf.DUMMYFUNCTION("""COMPUTED_VALUE"""),46243.0)</f>
        <v>46243</v>
      </c>
      <c r="W136" s="51">
        <f>IFERROR(__xludf.DUMMYFUNCTION("""COMPUTED_VALUE"""),41950.0)</f>
        <v>41950</v>
      </c>
      <c r="X136" s="5" t="str">
        <f>IFERROR(__xludf.DUMMYFUNCTION("FILTER(
  Movies!F136:F1000,
  DATEVALUE(Movies!B136:B1000) = W136
)
"),"#N/A")</f>
        <v>#N/A</v>
      </c>
      <c r="Y136" s="5"/>
      <c r="Z136" s="5"/>
      <c r="AA136" s="5"/>
      <c r="AB136" s="5"/>
    </row>
    <row r="137">
      <c r="B137" s="11" t="str">
        <f>Movies!C137</f>
        <v>Comedy, Crime, Drama</v>
      </c>
      <c r="C137" s="11" t="str">
        <f>IFERROR(__xludf.DUMMYFUNCTION("ARRAYFORMULA(TRIM(SPLIT(B137, "","")))
"),"Comedy")</f>
        <v>Comedy</v>
      </c>
      <c r="D137" s="11" t="str">
        <f>IFERROR(__xludf.DUMMYFUNCTION("""COMPUTED_VALUE"""),"Crime")</f>
        <v>Crime</v>
      </c>
      <c r="E137" s="11" t="str">
        <f>IFERROR(__xludf.DUMMYFUNCTION("""COMPUTED_VALUE"""),"Drama")</f>
        <v>Drama</v>
      </c>
      <c r="J137" s="58"/>
      <c r="S137" s="31">
        <f>IFERROR(__xludf.DUMMYFUNCTION("""COMPUTED_VALUE"""),46244.0)</f>
        <v>46244</v>
      </c>
      <c r="W137" s="51">
        <f>IFERROR(__xludf.DUMMYFUNCTION("""COMPUTED_VALUE"""),41964.0)</f>
        <v>41964</v>
      </c>
      <c r="X137" s="40">
        <f>IFERROR(__xludf.DUMMYFUNCTION("FILTER(
  Movies!F137:F1000,
  DATEVALUE(Movies!B137:B1000) = W137
)
"),7.566666666666666)</f>
        <v>7.566666667</v>
      </c>
      <c r="Y137" s="5"/>
      <c r="Z137" s="5"/>
      <c r="AA137" s="5"/>
      <c r="AB137" s="5"/>
    </row>
    <row r="138">
      <c r="B138" s="11" t="str">
        <f>Movies!C138</f>
        <v>Action, Adventure, Sci-Fi</v>
      </c>
      <c r="C138" s="11" t="str">
        <f>IFERROR(__xludf.DUMMYFUNCTION("ARRAYFORMULA(TRIM(SPLIT(B138, "","")))
"),"Action")</f>
        <v>Action</v>
      </c>
      <c r="D138" s="11" t="str">
        <f>IFERROR(__xludf.DUMMYFUNCTION("""COMPUTED_VALUE"""),"Adventure")</f>
        <v>Adventure</v>
      </c>
      <c r="E138" s="11" t="str">
        <f>IFERROR(__xludf.DUMMYFUNCTION("""COMPUTED_VALUE"""),"Sci-Fi")</f>
        <v>Sci-Fi</v>
      </c>
      <c r="J138" s="58"/>
      <c r="S138" s="31">
        <f>IFERROR(__xludf.DUMMYFUNCTION("""COMPUTED_VALUE"""),46245.0)</f>
        <v>46245</v>
      </c>
      <c r="W138" s="51">
        <f>IFERROR(__xludf.DUMMYFUNCTION("""COMPUTED_VALUE"""),41998.0)</f>
        <v>41998</v>
      </c>
      <c r="X138" s="5" t="str">
        <f>IFERROR(__xludf.DUMMYFUNCTION("FILTER(
  Movies!F138:F1000,
  DATEVALUE(Movies!B138:B1000) = W138
)
"),"#N/A")</f>
        <v>#N/A</v>
      </c>
      <c r="Y138" s="5"/>
      <c r="Z138" s="5"/>
      <c r="AA138" s="5"/>
      <c r="AB138" s="5"/>
    </row>
    <row r="139">
      <c r="B139" s="11" t="str">
        <f>Movies!C139</f>
        <v>Crime, Thriller</v>
      </c>
      <c r="C139" s="11" t="str">
        <f>IFERROR(__xludf.DUMMYFUNCTION("ARRAYFORMULA(TRIM(SPLIT(B139, "","")))
"),"Crime")</f>
        <v>Crime</v>
      </c>
      <c r="D139" s="11" t="str">
        <f>IFERROR(__xludf.DUMMYFUNCTION("""COMPUTED_VALUE"""),"Thriller")</f>
        <v>Thriller</v>
      </c>
      <c r="J139" s="58"/>
      <c r="S139" s="31">
        <f>IFERROR(__xludf.DUMMYFUNCTION("""COMPUTED_VALUE"""),46246.0)</f>
        <v>46246</v>
      </c>
      <c r="W139" s="51">
        <f>IFERROR(__xludf.DUMMYFUNCTION("""COMPUTED_VALUE"""),42013.0)</f>
        <v>42013</v>
      </c>
      <c r="X139" s="5" t="str">
        <f>IFERROR(__xludf.DUMMYFUNCTION("FILTER(
  Movies!F139:F1000,
  DATEVALUE(Movies!B139:B1000) = W139
)
"),"#N/A")</f>
        <v>#N/A</v>
      </c>
      <c r="Y139" s="5"/>
      <c r="Z139" s="5"/>
      <c r="AA139" s="5"/>
      <c r="AB139" s="5"/>
    </row>
    <row r="140">
      <c r="B140" s="11" t="str">
        <f>Movies!C140</f>
        <v>Action, Comedy, Crime</v>
      </c>
      <c r="C140" s="11" t="str">
        <f>IFERROR(__xludf.DUMMYFUNCTION("ARRAYFORMULA(TRIM(SPLIT(B140, "","")))
"),"Action")</f>
        <v>Action</v>
      </c>
      <c r="D140" s="11" t="str">
        <f>IFERROR(__xludf.DUMMYFUNCTION("""COMPUTED_VALUE"""),"Comedy")</f>
        <v>Comedy</v>
      </c>
      <c r="E140" s="11" t="str">
        <f>IFERROR(__xludf.DUMMYFUNCTION("""COMPUTED_VALUE"""),"Crime")</f>
        <v>Crime</v>
      </c>
      <c r="J140" s="58"/>
      <c r="W140" s="51">
        <f>IFERROR(__xludf.DUMMYFUNCTION("""COMPUTED_VALUE"""),42069.0)</f>
        <v>42069</v>
      </c>
      <c r="X140" s="40">
        <f>IFERROR(__xludf.DUMMYFUNCTION("FILTER(
  Movies!F140:F1000,
  DATEVALUE(Movies!B140:B1000) = W140
)
"),6.6499999999999995)</f>
        <v>6.65</v>
      </c>
      <c r="Y140" s="5"/>
      <c r="Z140" s="5"/>
      <c r="AA140" s="5"/>
      <c r="AB140" s="5"/>
    </row>
    <row r="141">
      <c r="B141" s="11" t="str">
        <f>Movies!C141</f>
        <v>Action, Crime, Mystery</v>
      </c>
      <c r="C141" s="11" t="str">
        <f>IFERROR(__xludf.DUMMYFUNCTION("ARRAYFORMULA(TRIM(SPLIT(B141, "","")))
"),"Action")</f>
        <v>Action</v>
      </c>
      <c r="D141" s="11" t="str">
        <f>IFERROR(__xludf.DUMMYFUNCTION("""COMPUTED_VALUE"""),"Crime")</f>
        <v>Crime</v>
      </c>
      <c r="E141" s="11" t="str">
        <f>IFERROR(__xludf.DUMMYFUNCTION("""COMPUTED_VALUE"""),"Mystery")</f>
        <v>Mystery</v>
      </c>
      <c r="J141" s="58"/>
      <c r="W141" s="51">
        <f>IFERROR(__xludf.DUMMYFUNCTION("""COMPUTED_VALUE"""),42118.0)</f>
        <v>42118</v>
      </c>
      <c r="X141" s="40">
        <f>IFERROR(__xludf.DUMMYFUNCTION("FILTER(
  Movies!F141:F1000,
  DATEVALUE(Movies!B141:B1000) = W141
)
"),7.216666666666666)</f>
        <v>7.216666667</v>
      </c>
      <c r="Y141" s="5"/>
      <c r="Z141" s="5"/>
      <c r="AA141" s="5"/>
      <c r="AB141" s="5"/>
    </row>
    <row r="142">
      <c r="B142" s="11" t="str">
        <f>Movies!C142</f>
        <v>Animation, Action, Adventure</v>
      </c>
      <c r="C142" s="11" t="str">
        <f>IFERROR(__xludf.DUMMYFUNCTION("ARRAYFORMULA(TRIM(SPLIT(B142, "","")))
"),"Animation")</f>
        <v>Animation</v>
      </c>
      <c r="D142" s="11" t="str">
        <f>IFERROR(__xludf.DUMMYFUNCTION("""COMPUTED_VALUE"""),"Action")</f>
        <v>Action</v>
      </c>
      <c r="E142" s="11" t="str">
        <f>IFERROR(__xludf.DUMMYFUNCTION("""COMPUTED_VALUE"""),"Adventure")</f>
        <v>Adventure</v>
      </c>
      <c r="J142" s="58"/>
      <c r="W142" s="51">
        <f>IFERROR(__xludf.DUMMYFUNCTION("""COMPUTED_VALUE"""),42125.0)</f>
        <v>42125</v>
      </c>
      <c r="X142" s="5" t="str">
        <f>IFERROR(__xludf.DUMMYFUNCTION("FILTER(
  Movies!F142:F1000,
  DATEVALUE(Movies!B142:B1000) = W142
)
"),"#N/A")</f>
        <v>#N/A</v>
      </c>
      <c r="Y142" s="5"/>
      <c r="Z142" s="5"/>
      <c r="AA142" s="5"/>
      <c r="AB142" s="5"/>
    </row>
    <row r="143">
      <c r="B143" s="11" t="str">
        <f>Movies!C143</f>
        <v>Action, Crime, Drama</v>
      </c>
      <c r="C143" s="11" t="str">
        <f>IFERROR(__xludf.DUMMYFUNCTION("ARRAYFORMULA(TRIM(SPLIT(B143, "","")))
"),"Action")</f>
        <v>Action</v>
      </c>
      <c r="D143" s="11" t="str">
        <f>IFERROR(__xludf.DUMMYFUNCTION("""COMPUTED_VALUE"""),"Crime")</f>
        <v>Crime</v>
      </c>
      <c r="E143" s="11" t="str">
        <f>IFERROR(__xludf.DUMMYFUNCTION("""COMPUTED_VALUE"""),"Drama")</f>
        <v>Drama</v>
      </c>
      <c r="J143" s="58"/>
      <c r="W143" s="51">
        <f>IFERROR(__xludf.DUMMYFUNCTION("""COMPUTED_VALUE"""),42139.0)</f>
        <v>42139</v>
      </c>
      <c r="X143" s="5" t="str">
        <f>IFERROR(__xludf.DUMMYFUNCTION("FILTER(
  Movies!F143:F1000,
  DATEVALUE(Movies!B143:B1000) = W143
)
"),"#N/A")</f>
        <v>#N/A</v>
      </c>
      <c r="Y143" s="5"/>
      <c r="Z143" s="5"/>
      <c r="AA143" s="5"/>
      <c r="AB143" s="5"/>
    </row>
    <row r="144">
      <c r="B144" s="11" t="str">
        <f>Movies!C144</f>
        <v>Action, Crime, Drama</v>
      </c>
      <c r="C144" s="11" t="str">
        <f>IFERROR(__xludf.DUMMYFUNCTION("ARRAYFORMULA(TRIM(SPLIT(B144, "","")))
"),"Action")</f>
        <v>Action</v>
      </c>
      <c r="D144" s="11" t="str">
        <f>IFERROR(__xludf.DUMMYFUNCTION("""COMPUTED_VALUE"""),"Crime")</f>
        <v>Crime</v>
      </c>
      <c r="E144" s="11" t="str">
        <f>IFERROR(__xludf.DUMMYFUNCTION("""COMPUTED_VALUE"""),"Drama")</f>
        <v>Drama</v>
      </c>
      <c r="J144" s="58"/>
      <c r="W144" s="51">
        <f>IFERROR(__xludf.DUMMYFUNCTION("""COMPUTED_VALUE"""),42202.0)</f>
        <v>42202</v>
      </c>
      <c r="X144" s="40">
        <f>IFERROR(__xludf.DUMMYFUNCTION("FILTER(
  Movies!F144:F1000,
  DATEVALUE(Movies!B144:B1000) = W144
)
"),6.083333333333332)</f>
        <v>6.083333333</v>
      </c>
      <c r="Y144" s="5"/>
      <c r="Z144" s="5"/>
      <c r="AA144" s="5"/>
      <c r="AB144" s="5"/>
    </row>
    <row r="145">
      <c r="B145" s="11" t="str">
        <f>Movies!C145</f>
        <v>Adventure, Family, Fantasy</v>
      </c>
      <c r="C145" s="11" t="str">
        <f>IFERROR(__xludf.DUMMYFUNCTION("ARRAYFORMULA(TRIM(SPLIT(B145, "","")))
"),"Adventure")</f>
        <v>Adventure</v>
      </c>
      <c r="D145" s="11" t="str">
        <f>IFERROR(__xludf.DUMMYFUNCTION("""COMPUTED_VALUE"""),"Family")</f>
        <v>Family</v>
      </c>
      <c r="E145" s="11" t="str">
        <f>IFERROR(__xludf.DUMMYFUNCTION("""COMPUTED_VALUE"""),"Fantasy")</f>
        <v>Fantasy</v>
      </c>
      <c r="J145" s="58"/>
      <c r="W145" s="51">
        <f>IFERROR(__xludf.DUMMYFUNCTION("""COMPUTED_VALUE"""),42279.0)</f>
        <v>42279</v>
      </c>
      <c r="X145" s="5" t="str">
        <f>IFERROR(__xludf.DUMMYFUNCTION("FILTER(
  Movies!F145:F1000,
  DATEVALUE(Movies!B145:B1000) = W145
)
"),"#N/A")</f>
        <v>#N/A</v>
      </c>
      <c r="Y145" s="5"/>
      <c r="Z145" s="5"/>
      <c r="AA145" s="5"/>
      <c r="AB145" s="5"/>
    </row>
    <row r="146">
      <c r="B146" s="11" t="str">
        <f>Movies!C146</f>
        <v>Drama</v>
      </c>
      <c r="C146" s="11" t="str">
        <f>IFERROR(__xludf.DUMMYFUNCTION("ARRAYFORMULA(TRIM(SPLIT(B146, "","")))
"),"Drama")</f>
        <v>Drama</v>
      </c>
      <c r="J146" s="58"/>
      <c r="W146" s="51">
        <f>IFERROR(__xludf.DUMMYFUNCTION("""COMPUTED_VALUE"""),42314.0)</f>
        <v>42314</v>
      </c>
      <c r="X146" s="40">
        <f>IFERROR(__xludf.DUMMYFUNCTION("FILTER(
  Movies!F146:F1000,
  DATEVALUE(Movies!B146:B1000) = W146
)
"),7.0)</f>
        <v>7</v>
      </c>
      <c r="Y146" s="5"/>
      <c r="Z146" s="5"/>
      <c r="AA146" s="5"/>
      <c r="AB146" s="5"/>
    </row>
    <row r="147">
      <c r="B147" s="11" t="str">
        <f>Movies!C147</f>
        <v>Comedy, Drama, Romance</v>
      </c>
      <c r="C147" s="11" t="str">
        <f>IFERROR(__xludf.DUMMYFUNCTION("ARRAYFORMULA(TRIM(SPLIT(B147, "","")))
"),"Comedy")</f>
        <v>Comedy</v>
      </c>
      <c r="D147" s="11" t="str">
        <f>IFERROR(__xludf.DUMMYFUNCTION("""COMPUTED_VALUE"""),"Drama")</f>
        <v>Drama</v>
      </c>
      <c r="E147" s="11" t="str">
        <f>IFERROR(__xludf.DUMMYFUNCTION("""COMPUTED_VALUE"""),"Romance")</f>
        <v>Romance</v>
      </c>
      <c r="J147" s="58"/>
      <c r="W147" s="51">
        <f>IFERROR(__xludf.DUMMYFUNCTION("""COMPUTED_VALUE"""),42328.0)</f>
        <v>42328</v>
      </c>
      <c r="X147" s="40">
        <f>IFERROR(__xludf.DUMMYFUNCTION("FILTER(
  Movies!F147:F1000,
  DATEVALUE(Movies!B147:B1000) = W147
)
"),7.583333333333333)</f>
        <v>7.583333333</v>
      </c>
      <c r="Y147" s="5"/>
      <c r="Z147" s="5"/>
      <c r="AA147" s="5"/>
      <c r="AB147" s="5"/>
    </row>
    <row r="148">
      <c r="B148" s="11" t="str">
        <f>Movies!C148</f>
        <v>Action, Adventure, Drama</v>
      </c>
      <c r="C148" s="11" t="str">
        <f>IFERROR(__xludf.DUMMYFUNCTION("ARRAYFORMULA(TRIM(SPLIT(B148, "","")))
"),"Action")</f>
        <v>Action</v>
      </c>
      <c r="D148" s="11" t="str">
        <f>IFERROR(__xludf.DUMMYFUNCTION("""COMPUTED_VALUE"""),"Adventure")</f>
        <v>Adventure</v>
      </c>
      <c r="E148" s="11" t="str">
        <f>IFERROR(__xludf.DUMMYFUNCTION("""COMPUTED_VALUE"""),"Drama")</f>
        <v>Drama</v>
      </c>
      <c r="J148" s="58"/>
      <c r="W148" s="51">
        <f>IFERROR(__xludf.DUMMYFUNCTION("""COMPUTED_VALUE"""),42349.0)</f>
        <v>42349</v>
      </c>
      <c r="X148" s="40">
        <f>IFERROR(__xludf.DUMMYFUNCTION("FILTER(
  Movies!F148:F1000,
  DATEVALUE(Movies!B148:B1000) = W148
)
"),5.5)</f>
        <v>5.5</v>
      </c>
      <c r="Y148" s="5"/>
      <c r="Z148" s="5"/>
      <c r="AA148" s="5"/>
      <c r="AB148" s="5"/>
    </row>
    <row r="149">
      <c r="B149" s="11" t="str">
        <f>Movies!C149</f>
        <v>Action, Drama, Thriller</v>
      </c>
      <c r="C149" s="11" t="str">
        <f>IFERROR(__xludf.DUMMYFUNCTION("ARRAYFORMULA(TRIM(SPLIT(B149, "","")))
"),"Action")</f>
        <v>Action</v>
      </c>
      <c r="D149" s="11" t="str">
        <f>IFERROR(__xludf.DUMMYFUNCTION("""COMPUTED_VALUE"""),"Drama")</f>
        <v>Drama</v>
      </c>
      <c r="E149" s="11" t="str">
        <f>IFERROR(__xludf.DUMMYFUNCTION("""COMPUTED_VALUE"""),"Thriller")</f>
        <v>Thriller</v>
      </c>
      <c r="J149" s="58"/>
      <c r="W149" s="51">
        <f>IFERROR(__xludf.DUMMYFUNCTION("""COMPUTED_VALUE"""),42361.0)</f>
        <v>42361</v>
      </c>
      <c r="X149" s="40">
        <f>IFERROR(__xludf.DUMMYFUNCTION("FILTER(
  Movies!F149:F1000,
  DATEVALUE(Movies!B149:B1000) = W149
)
"),6.8500000000000005)</f>
        <v>6.85</v>
      </c>
      <c r="Y149" s="5"/>
      <c r="Z149" s="5"/>
      <c r="AA149" s="5"/>
      <c r="AB149" s="5"/>
    </row>
    <row r="150">
      <c r="B150" s="11" t="str">
        <f>Movies!C150</f>
        <v>Horror, Sci-Fi</v>
      </c>
      <c r="C150" s="11" t="str">
        <f>IFERROR(__xludf.DUMMYFUNCTION("ARRAYFORMULA(TRIM(SPLIT(B150, "","")))
"),"Horror")</f>
        <v>Horror</v>
      </c>
      <c r="D150" s="11" t="str">
        <f>IFERROR(__xludf.DUMMYFUNCTION("""COMPUTED_VALUE"""),"Sci-Fi")</f>
        <v>Sci-Fi</v>
      </c>
      <c r="J150" s="58"/>
      <c r="W150" s="51">
        <f>IFERROR(__xludf.DUMMYFUNCTION("""COMPUTED_VALUE"""),42377.0)</f>
        <v>42377</v>
      </c>
      <c r="X150" s="5" t="str">
        <f>IFERROR(__xludf.DUMMYFUNCTION("FILTER(
  Movies!F150:F1000,
  DATEVALUE(Movies!B150:B1000) = W150
)
"),"#N/A")</f>
        <v>#N/A</v>
      </c>
      <c r="Y150" s="5"/>
      <c r="Z150" s="5"/>
      <c r="AA150" s="5"/>
      <c r="AB150" s="5"/>
    </row>
    <row r="151">
      <c r="B151" s="11" t="str">
        <f>Movies!C151</f>
        <v>Animation, Adventure, Comedy</v>
      </c>
      <c r="C151" s="11" t="str">
        <f>IFERROR(__xludf.DUMMYFUNCTION("ARRAYFORMULA(TRIM(SPLIT(B151, "","")))
"),"Animation")</f>
        <v>Animation</v>
      </c>
      <c r="D151" s="11" t="str">
        <f>IFERROR(__xludf.DUMMYFUNCTION("""COMPUTED_VALUE"""),"Adventure")</f>
        <v>Adventure</v>
      </c>
      <c r="E151" s="11" t="str">
        <f>IFERROR(__xludf.DUMMYFUNCTION("""COMPUTED_VALUE"""),"Comedy")</f>
        <v>Comedy</v>
      </c>
      <c r="J151" s="58"/>
      <c r="W151" s="51">
        <f>IFERROR(__xludf.DUMMYFUNCTION("""COMPUTED_VALUE"""),42384.0)</f>
        <v>42384</v>
      </c>
      <c r="X151" s="5" t="str">
        <f>IFERROR(__xludf.DUMMYFUNCTION("FILTER(
  Movies!F151:F1000,
  DATEVALUE(Movies!B151:B1000) = W151
)
"),"#N/A")</f>
        <v>#N/A</v>
      </c>
      <c r="Y151" s="5"/>
      <c r="Z151" s="5"/>
      <c r="AA151" s="5"/>
      <c r="AB151" s="5"/>
    </row>
    <row r="152">
      <c r="B152" s="11" t="str">
        <f>Movies!C152</f>
        <v>Animation, Adventure, Comedy</v>
      </c>
      <c r="C152" s="11" t="str">
        <f>IFERROR(__xludf.DUMMYFUNCTION("ARRAYFORMULA(TRIM(SPLIT(B152, "","")))
"),"Animation")</f>
        <v>Animation</v>
      </c>
      <c r="D152" s="11" t="str">
        <f>IFERROR(__xludf.DUMMYFUNCTION("""COMPUTED_VALUE"""),"Adventure")</f>
        <v>Adventure</v>
      </c>
      <c r="E152" s="11" t="str">
        <f>IFERROR(__xludf.DUMMYFUNCTION("""COMPUTED_VALUE"""),"Comedy")</f>
        <v>Comedy</v>
      </c>
      <c r="J152" s="58"/>
      <c r="W152" s="51">
        <f>IFERROR(__xludf.DUMMYFUNCTION("""COMPUTED_VALUE"""),42391.0)</f>
        <v>42391</v>
      </c>
      <c r="X152" s="40">
        <f>IFERROR(__xludf.DUMMYFUNCTION("FILTER(
  Movies!F152:F1000,
  DATEVALUE(Movies!B152:B1000) = W152
)
"),5.6499999999999995)</f>
        <v>5.65</v>
      </c>
      <c r="Y152" s="5"/>
      <c r="Z152" s="5"/>
      <c r="AA152" s="5"/>
      <c r="AB152" s="5"/>
    </row>
    <row r="153">
      <c r="B153" s="11" t="str">
        <f>Movies!C153</f>
        <v>Action, Adventure, Sci-Fi</v>
      </c>
      <c r="C153" s="11" t="str">
        <f>IFERROR(__xludf.DUMMYFUNCTION("ARRAYFORMULA(TRIM(SPLIT(B153, "","")))
"),"Action")</f>
        <v>Action</v>
      </c>
      <c r="D153" s="11" t="str">
        <f>IFERROR(__xludf.DUMMYFUNCTION("""COMPUTED_VALUE"""),"Adventure")</f>
        <v>Adventure</v>
      </c>
      <c r="E153" s="11" t="str">
        <f>IFERROR(__xludf.DUMMYFUNCTION("""COMPUTED_VALUE"""),"Sci-Fi")</f>
        <v>Sci-Fi</v>
      </c>
      <c r="J153" s="58"/>
      <c r="W153" s="51">
        <f>IFERROR(__xludf.DUMMYFUNCTION("""COMPUTED_VALUE"""),42412.0)</f>
        <v>42412</v>
      </c>
      <c r="X153" s="5" t="str">
        <f>IFERROR(__xludf.DUMMYFUNCTION("FILTER(
  Movies!F153:F1000,
  DATEVALUE(Movies!B153:B1000) = W153
)
"),"#N/A")</f>
        <v>#N/A</v>
      </c>
      <c r="Y153" s="5"/>
      <c r="Z153" s="5"/>
      <c r="AA153" s="5"/>
      <c r="AB153" s="5"/>
    </row>
    <row r="154">
      <c r="B154" s="11" t="str">
        <f>Movies!C154</f>
        <v>Action, Adventure, Sci-Fi</v>
      </c>
      <c r="C154" s="11" t="str">
        <f>IFERROR(__xludf.DUMMYFUNCTION("ARRAYFORMULA(TRIM(SPLIT(B154, "","")))
"),"Action")</f>
        <v>Action</v>
      </c>
      <c r="D154" s="11" t="str">
        <f>IFERROR(__xludf.DUMMYFUNCTION("""COMPUTED_VALUE"""),"Adventure")</f>
        <v>Adventure</v>
      </c>
      <c r="E154" s="11" t="str">
        <f>IFERROR(__xludf.DUMMYFUNCTION("""COMPUTED_VALUE"""),"Sci-Fi")</f>
        <v>Sci-Fi</v>
      </c>
      <c r="J154" s="58"/>
      <c r="W154" s="51">
        <f>IFERROR(__xludf.DUMMYFUNCTION("""COMPUTED_VALUE"""),42447.0)</f>
        <v>42447</v>
      </c>
      <c r="X154" s="40">
        <f>IFERROR(__xludf.DUMMYFUNCTION("FILTER(
  Movies!F154:F1000,
  DATEVALUE(Movies!B154:B1000) = W154
)
"),6.616666666666667)</f>
        <v>6.616666667</v>
      </c>
      <c r="Y154" s="5"/>
      <c r="Z154" s="5"/>
      <c r="AA154" s="5"/>
      <c r="AB154" s="5"/>
    </row>
    <row r="155">
      <c r="B155" s="11" t="str">
        <f>Movies!C155</f>
        <v>Action, Adventure, Sci-Fi</v>
      </c>
      <c r="C155" s="11" t="str">
        <f>IFERROR(__xludf.DUMMYFUNCTION("ARRAYFORMULA(TRIM(SPLIT(B155, "","")))
"),"Action")</f>
        <v>Action</v>
      </c>
      <c r="D155" s="11" t="str">
        <f>IFERROR(__xludf.DUMMYFUNCTION("""COMPUTED_VALUE"""),"Adventure")</f>
        <v>Adventure</v>
      </c>
      <c r="E155" s="11" t="str">
        <f>IFERROR(__xludf.DUMMYFUNCTION("""COMPUTED_VALUE"""),"Sci-Fi")</f>
        <v>Sci-Fi</v>
      </c>
      <c r="J155" s="58"/>
      <c r="W155" s="51">
        <f>IFERROR(__xludf.DUMMYFUNCTION("""COMPUTED_VALUE"""),42496.0)</f>
        <v>42496</v>
      </c>
      <c r="X155" s="5" t="str">
        <f>IFERROR(__xludf.DUMMYFUNCTION("FILTER(
  Movies!F155:F1000,
  DATEVALUE(Movies!B155:B1000) = W155
)
"),"#N/A")</f>
        <v>#N/A</v>
      </c>
      <c r="Y155" s="5"/>
      <c r="Z155" s="5"/>
      <c r="AA155" s="5"/>
      <c r="AB155" s="5"/>
    </row>
    <row r="156">
      <c r="B156" s="11" t="str">
        <f>Movies!C156</f>
        <v>Action, Adventure, Sci-Fi</v>
      </c>
      <c r="C156" s="11" t="str">
        <f>IFERROR(__xludf.DUMMYFUNCTION("ARRAYFORMULA(TRIM(SPLIT(B156, "","")))
"),"Action")</f>
        <v>Action</v>
      </c>
      <c r="D156" s="11" t="str">
        <f>IFERROR(__xludf.DUMMYFUNCTION("""COMPUTED_VALUE"""),"Adventure")</f>
        <v>Adventure</v>
      </c>
      <c r="E156" s="11" t="str">
        <f>IFERROR(__xludf.DUMMYFUNCTION("""COMPUTED_VALUE"""),"Sci-Fi")</f>
        <v>Sci-Fi</v>
      </c>
      <c r="J156" s="58"/>
      <c r="W156" s="51">
        <f>IFERROR(__xludf.DUMMYFUNCTION("""COMPUTED_VALUE"""),42531.0)</f>
        <v>42531</v>
      </c>
      <c r="X156" s="40">
        <f>IFERROR(__xludf.DUMMYFUNCTION("FILTER(
  Movies!F156:F1000,
  DATEVALUE(Movies!B156:B1000) = W156
)
"),7.066666666666666)</f>
        <v>7.066666667</v>
      </c>
      <c r="Y156" s="5"/>
      <c r="Z156" s="5"/>
      <c r="AA156" s="5"/>
      <c r="AB156" s="5"/>
    </row>
    <row r="157">
      <c r="B157" s="11" t="str">
        <f>Movies!C157</f>
        <v>Action, Adventure, Comedy</v>
      </c>
      <c r="C157" s="11" t="str">
        <f>IFERROR(__xludf.DUMMYFUNCTION("ARRAYFORMULA(TRIM(SPLIT(B157, "","")))
"),"Action")</f>
        <v>Action</v>
      </c>
      <c r="D157" s="11" t="str">
        <f>IFERROR(__xludf.DUMMYFUNCTION("""COMPUTED_VALUE"""),"Adventure")</f>
        <v>Adventure</v>
      </c>
      <c r="E157" s="11" t="str">
        <f>IFERROR(__xludf.DUMMYFUNCTION("""COMPUTED_VALUE"""),"Comedy")</f>
        <v>Comedy</v>
      </c>
      <c r="J157" s="58"/>
      <c r="W157" s="51">
        <f>IFERROR(__xludf.DUMMYFUNCTION("""COMPUTED_VALUE"""),42594.0)</f>
        <v>42594</v>
      </c>
      <c r="X157" s="40">
        <f>IFERROR(__xludf.DUMMYFUNCTION("FILTER(
  Movies!F157:F1000,
  DATEVALUE(Movies!B157:B1000) = W157
)
"),5.833333333333335)</f>
        <v>5.833333333</v>
      </c>
      <c r="Y157" s="5"/>
      <c r="Z157" s="5"/>
      <c r="AA157" s="5"/>
      <c r="AB157" s="5"/>
    </row>
    <row r="158">
      <c r="B158" s="11" t="str">
        <f>Movies!C158</f>
        <v>Drama</v>
      </c>
      <c r="C158" s="11" t="str">
        <f>IFERROR(__xludf.DUMMYFUNCTION("ARRAYFORMULA(TRIM(SPLIT(B158, "","")))
"),"Drama")</f>
        <v>Drama</v>
      </c>
      <c r="J158" s="58"/>
      <c r="W158" s="51">
        <f>IFERROR(__xludf.DUMMYFUNCTION("""COMPUTED_VALUE"""),42657.0)</f>
        <v>42657</v>
      </c>
      <c r="X158" s="5" t="str">
        <f>IFERROR(__xludf.DUMMYFUNCTION("FILTER(
  Movies!F158:F1000,
  DATEVALUE(Movies!B158:B1000) = W158
)
"),"#N/A")</f>
        <v>#N/A</v>
      </c>
      <c r="Y158" s="5"/>
      <c r="Z158" s="5"/>
      <c r="AA158" s="5"/>
      <c r="AB158" s="5"/>
    </row>
    <row r="159">
      <c r="B159" s="11" t="str">
        <f>Movies!C159</f>
        <v>Action, Adventure, Sci-Fi</v>
      </c>
      <c r="C159" s="11" t="str">
        <f>IFERROR(__xludf.DUMMYFUNCTION("ARRAYFORMULA(TRIM(SPLIT(B159, "","")))
"),"Action")</f>
        <v>Action</v>
      </c>
      <c r="D159" s="11" t="str">
        <f>IFERROR(__xludf.DUMMYFUNCTION("""COMPUTED_VALUE"""),"Adventure")</f>
        <v>Adventure</v>
      </c>
      <c r="E159" s="11" t="str">
        <f>IFERROR(__xludf.DUMMYFUNCTION("""COMPUTED_VALUE"""),"Sci-Fi")</f>
        <v>Sci-Fi</v>
      </c>
      <c r="J159" s="58"/>
      <c r="W159" s="51">
        <f>IFERROR(__xludf.DUMMYFUNCTION("""COMPUTED_VALUE"""),42678.0)</f>
        <v>42678</v>
      </c>
      <c r="X159" s="5" t="str">
        <f>IFERROR(__xludf.DUMMYFUNCTION("FILTER(
  Movies!F159:F1000,
  DATEVALUE(Movies!B159:B1000) = W159
)
"),"#N/A")</f>
        <v>#N/A</v>
      </c>
      <c r="Y159" s="5"/>
      <c r="Z159" s="5"/>
      <c r="AA159" s="5"/>
      <c r="AB159" s="5"/>
    </row>
    <row r="160">
      <c r="B160" s="11" t="str">
        <f>Movies!C160</f>
        <v>Action, Adventure, Sci-Fi</v>
      </c>
      <c r="C160" s="11" t="str">
        <f>IFERROR(__xludf.DUMMYFUNCTION("ARRAYFORMULA(TRIM(SPLIT(B160, "","")))
"),"Action")</f>
        <v>Action</v>
      </c>
      <c r="D160" s="11" t="str">
        <f>IFERROR(__xludf.DUMMYFUNCTION("""COMPUTED_VALUE"""),"Adventure")</f>
        <v>Adventure</v>
      </c>
      <c r="E160" s="11" t="str">
        <f>IFERROR(__xludf.DUMMYFUNCTION("""COMPUTED_VALUE"""),"Sci-Fi")</f>
        <v>Sci-Fi</v>
      </c>
      <c r="J160" s="58"/>
      <c r="W160" s="51">
        <f>IFERROR(__xludf.DUMMYFUNCTION("""COMPUTED_VALUE"""),42685.0)</f>
        <v>42685</v>
      </c>
      <c r="X160" s="5" t="str">
        <f>IFERROR(__xludf.DUMMYFUNCTION("FILTER(
  Movies!F160:F1000,
  DATEVALUE(Movies!B160:B1000) = W160
)
"),"#N/A")</f>
        <v>#N/A</v>
      </c>
      <c r="Y160" s="5"/>
      <c r="Z160" s="5"/>
      <c r="AA160" s="5"/>
      <c r="AB160" s="5"/>
    </row>
    <row r="161">
      <c r="B161" s="11" t="str">
        <f>Movies!C161</f>
        <v>Action, Adventure, Mystery</v>
      </c>
      <c r="C161" s="11" t="str">
        <f>IFERROR(__xludf.DUMMYFUNCTION("ARRAYFORMULA(TRIM(SPLIT(B161, "","")))
"),"Action")</f>
        <v>Action</v>
      </c>
      <c r="D161" s="11" t="str">
        <f>IFERROR(__xludf.DUMMYFUNCTION("""COMPUTED_VALUE"""),"Adventure")</f>
        <v>Adventure</v>
      </c>
      <c r="E161" s="11" t="str">
        <f>IFERROR(__xludf.DUMMYFUNCTION("""COMPUTED_VALUE"""),"Mystery")</f>
        <v>Mystery</v>
      </c>
      <c r="J161" s="58"/>
      <c r="W161" s="51">
        <f>IFERROR(__xludf.DUMMYFUNCTION("""COMPUTED_VALUE"""),42713.0)</f>
        <v>42713</v>
      </c>
      <c r="X161" s="5" t="str">
        <f>IFERROR(__xludf.DUMMYFUNCTION("FILTER(
  Movies!F161:F1000,
  DATEVALUE(Movies!B161:B1000) = W161
)
"),"#N/A")</f>
        <v>#N/A</v>
      </c>
      <c r="Y161" s="5"/>
      <c r="Z161" s="5"/>
      <c r="AA161" s="5"/>
      <c r="AB161" s="5"/>
    </row>
    <row r="162">
      <c r="B162" s="11" t="str">
        <f>Movies!C162</f>
        <v>Action, Adventure, Fantasy</v>
      </c>
      <c r="C162" s="11" t="str">
        <f>IFERROR(__xludf.DUMMYFUNCTION("ARRAYFORMULA(TRIM(SPLIT(B162, "","")))
"),"Action")</f>
        <v>Action</v>
      </c>
      <c r="D162" s="11" t="str">
        <f>IFERROR(__xludf.DUMMYFUNCTION("""COMPUTED_VALUE"""),"Adventure")</f>
        <v>Adventure</v>
      </c>
      <c r="E162" s="11" t="str">
        <f>IFERROR(__xludf.DUMMYFUNCTION("""COMPUTED_VALUE"""),"Fantasy")</f>
        <v>Fantasy</v>
      </c>
      <c r="J162" s="58"/>
      <c r="W162" s="51">
        <f>IFERROR(__xludf.DUMMYFUNCTION("""COMPUTED_VALUE"""),42729.0)</f>
        <v>42729</v>
      </c>
      <c r="X162" s="5" t="str">
        <f>IFERROR(__xludf.DUMMYFUNCTION("FILTER(
  Movies!F162:F1000,
  DATEVALUE(Movies!B162:B1000) = W162
)
"),"#N/A")</f>
        <v>#N/A</v>
      </c>
      <c r="Y162" s="5"/>
      <c r="Z162" s="5"/>
      <c r="AA162" s="5"/>
      <c r="AB162" s="5"/>
    </row>
    <row r="163">
      <c r="B163" s="11" t="str">
        <f>Movies!C163</f>
        <v>Action, Adventure, Sci-Fi</v>
      </c>
      <c r="C163" s="11" t="str">
        <f>IFERROR(__xludf.DUMMYFUNCTION("ARRAYFORMULA(TRIM(SPLIT(B163, "","")))
"),"Action")</f>
        <v>Action</v>
      </c>
      <c r="D163" s="11" t="str">
        <f>IFERROR(__xludf.DUMMYFUNCTION("""COMPUTED_VALUE"""),"Adventure")</f>
        <v>Adventure</v>
      </c>
      <c r="E163" s="11" t="str">
        <f>IFERROR(__xludf.DUMMYFUNCTION("""COMPUTED_VALUE"""),"Sci-Fi")</f>
        <v>Sci-Fi</v>
      </c>
      <c r="J163" s="58"/>
      <c r="W163" s="51">
        <f>IFERROR(__xludf.DUMMYFUNCTION("""COMPUTED_VALUE"""),42741.0)</f>
        <v>42741</v>
      </c>
      <c r="X163" s="40">
        <f>IFERROR(__xludf.DUMMYFUNCTION("FILTER(
  Movies!F163:F1000,
  DATEVALUE(Movies!B163:B1000) = W163
)
"),5.966666666666666)</f>
        <v>5.966666667</v>
      </c>
      <c r="Y163" s="5"/>
      <c r="Z163" s="5"/>
      <c r="AA163" s="5"/>
      <c r="AB163" s="5"/>
    </row>
    <row r="164">
      <c r="B164" s="11" t="str">
        <f>Movies!C164</f>
        <v>Action, Adventure, Sci-Fi</v>
      </c>
      <c r="C164" s="11" t="str">
        <f>IFERROR(__xludf.DUMMYFUNCTION("ARRAYFORMULA(TRIM(SPLIT(B164, "","")))
"),"Action")</f>
        <v>Action</v>
      </c>
      <c r="D164" s="11" t="str">
        <f>IFERROR(__xludf.DUMMYFUNCTION("""COMPUTED_VALUE"""),"Adventure")</f>
        <v>Adventure</v>
      </c>
      <c r="E164" s="11" t="str">
        <f>IFERROR(__xludf.DUMMYFUNCTION("""COMPUTED_VALUE"""),"Sci-Fi")</f>
        <v>Sci-Fi</v>
      </c>
      <c r="J164" s="58"/>
      <c r="W164" s="51">
        <f>IFERROR(__xludf.DUMMYFUNCTION("""COMPUTED_VALUE"""),42776.0)</f>
        <v>42776</v>
      </c>
      <c r="X164" s="40">
        <f>IFERROR(__xludf.DUMMYFUNCTION("FILTER(
  Movies!F164:F1000,
  DATEVALUE(Movies!B164:B1000) = W164
)
"),7.083333333333333)</f>
        <v>7.083333333</v>
      </c>
      <c r="Y164" s="5"/>
      <c r="Z164" s="5"/>
      <c r="AA164" s="5"/>
      <c r="AB164" s="5"/>
    </row>
    <row r="165">
      <c r="B165" s="11" t="str">
        <f>Movies!C165</f>
        <v>Adventure, Biography, Drama</v>
      </c>
      <c r="C165" s="11" t="str">
        <f>IFERROR(__xludf.DUMMYFUNCTION("ARRAYFORMULA(TRIM(SPLIT(B165, "","")))
"),"Adventure")</f>
        <v>Adventure</v>
      </c>
      <c r="D165" s="11" t="str">
        <f>IFERROR(__xludf.DUMMYFUNCTION("""COMPUTED_VALUE"""),"Biography")</f>
        <v>Biography</v>
      </c>
      <c r="E165" s="11" t="str">
        <f>IFERROR(__xludf.DUMMYFUNCTION("""COMPUTED_VALUE"""),"Drama")</f>
        <v>Drama</v>
      </c>
      <c r="J165" s="58"/>
      <c r="W165" s="51">
        <f>IFERROR(__xludf.DUMMYFUNCTION("""COMPUTED_VALUE"""),42881.0)</f>
        <v>42881</v>
      </c>
      <c r="X165" s="40">
        <f>IFERROR(__xludf.DUMMYFUNCTION("FILTER(
  Movies!F165:F1000,
  DATEVALUE(Movies!B165:B1000) = W165
)
"),5.883333333333333)</f>
        <v>5.883333333</v>
      </c>
      <c r="Y165" s="5"/>
      <c r="Z165" s="5"/>
      <c r="AA165" s="5"/>
      <c r="AB165" s="5"/>
    </row>
    <row r="166">
      <c r="B166" s="11" t="str">
        <f>Movies!C166</f>
        <v>Crime, Thriller</v>
      </c>
      <c r="C166" s="11" t="str">
        <f>IFERROR(__xludf.DUMMYFUNCTION("ARRAYFORMULA(TRIM(SPLIT(B166, "","")))
"),"Crime")</f>
        <v>Crime</v>
      </c>
      <c r="D166" s="11" t="str">
        <f>IFERROR(__xludf.DUMMYFUNCTION("""COMPUTED_VALUE"""),"Thriller")</f>
        <v>Thriller</v>
      </c>
      <c r="J166" s="58"/>
      <c r="W166" s="51">
        <f>IFERROR(__xludf.DUMMYFUNCTION("""COMPUTED_VALUE"""),42907.0)</f>
        <v>42907</v>
      </c>
      <c r="X166" s="40">
        <f>IFERROR(__xludf.DUMMYFUNCTION("FILTER(
  Movies!F166:F1000,
  DATEVALUE(Movies!B166:B1000) = W166
)
"),7.116666666666667)</f>
        <v>7.116666667</v>
      </c>
      <c r="Y166" s="5"/>
      <c r="Z166" s="5"/>
      <c r="AA166" s="5"/>
      <c r="AB166" s="5"/>
    </row>
    <row r="167">
      <c r="B167" s="11" t="str">
        <f>Movies!C167</f>
        <v>Animation, Action, Adventure</v>
      </c>
      <c r="C167" s="11" t="str">
        <f>IFERROR(__xludf.DUMMYFUNCTION("ARRAYFORMULA(TRIM(SPLIT(B167, "","")))
"),"Animation")</f>
        <v>Animation</v>
      </c>
      <c r="D167" s="11" t="str">
        <f>IFERROR(__xludf.DUMMYFUNCTION("""COMPUTED_VALUE"""),"Action")</f>
        <v>Action</v>
      </c>
      <c r="E167" s="11" t="str">
        <f>IFERROR(__xludf.DUMMYFUNCTION("""COMPUTED_VALUE"""),"Adventure")</f>
        <v>Adventure</v>
      </c>
      <c r="J167" s="58"/>
      <c r="W167" s="51">
        <f>IFERROR(__xludf.DUMMYFUNCTION("""COMPUTED_VALUE"""),42914.0)</f>
        <v>42914</v>
      </c>
      <c r="X167" s="5" t="str">
        <f>IFERROR(__xludf.DUMMYFUNCTION("FILTER(
  Movies!F167:F1000,
  DATEVALUE(Movies!B167:B1000) = W167
)
"),"#N/A")</f>
        <v>#N/A</v>
      </c>
      <c r="Y167" s="5"/>
      <c r="Z167" s="5"/>
      <c r="AA167" s="5"/>
      <c r="AB167" s="5"/>
    </row>
    <row r="168">
      <c r="B168" s="11" t="str">
        <f>Movies!C168</f>
        <v>Comedy, Crime, Drama</v>
      </c>
      <c r="C168" s="11" t="str">
        <f>IFERROR(__xludf.DUMMYFUNCTION("ARRAYFORMULA(TRIM(SPLIT(B168, "","")))
"),"Comedy")</f>
        <v>Comedy</v>
      </c>
      <c r="D168" s="11" t="str">
        <f>IFERROR(__xludf.DUMMYFUNCTION("""COMPUTED_VALUE"""),"Crime")</f>
        <v>Crime</v>
      </c>
      <c r="E168" s="11" t="str">
        <f>IFERROR(__xludf.DUMMYFUNCTION("""COMPUTED_VALUE"""),"Drama")</f>
        <v>Drama</v>
      </c>
      <c r="J168" s="58"/>
      <c r="W168" s="51">
        <f>IFERROR(__xludf.DUMMYFUNCTION("""COMPUTED_VALUE"""),42923.0)</f>
        <v>42923</v>
      </c>
      <c r="X168" s="5" t="str">
        <f>IFERROR(__xludf.DUMMYFUNCTION("FILTER(
  Movies!F168:F1000,
  DATEVALUE(Movies!B168:B1000) = W168
)
"),"#N/A")</f>
        <v>#N/A</v>
      </c>
      <c r="Y168" s="5"/>
      <c r="Z168" s="5"/>
      <c r="AA168" s="5"/>
      <c r="AB168" s="5"/>
    </row>
    <row r="169">
      <c r="B169" s="11" t="str">
        <f>Movies!C169</f>
        <v>Action, Sci-Fi</v>
      </c>
      <c r="C169" s="11" t="str">
        <f>IFERROR(__xludf.DUMMYFUNCTION("ARRAYFORMULA(TRIM(SPLIT(B169, "","")))
"),"Action")</f>
        <v>Action</v>
      </c>
      <c r="D169" s="11" t="str">
        <f>IFERROR(__xludf.DUMMYFUNCTION("""COMPUTED_VALUE"""),"Sci-Fi")</f>
        <v>Sci-Fi</v>
      </c>
      <c r="J169" s="58"/>
      <c r="W169" s="51">
        <f>IFERROR(__xludf.DUMMYFUNCTION("""COMPUTED_VALUE"""),42930.0)</f>
        <v>42930</v>
      </c>
      <c r="X169" s="5" t="str">
        <f>IFERROR(__xludf.DUMMYFUNCTION("FILTER(
  Movies!F169:F1000,
  DATEVALUE(Movies!B169:B1000) = W169
)
"),"#N/A")</f>
        <v>#N/A</v>
      </c>
      <c r="Y169" s="5"/>
      <c r="Z169" s="5"/>
      <c r="AA169" s="5"/>
      <c r="AB169" s="5"/>
    </row>
    <row r="170">
      <c r="B170" s="11" t="str">
        <f>Movies!C170</f>
        <v>Comedy, Romance</v>
      </c>
      <c r="C170" s="11" t="str">
        <f>IFERROR(__xludf.DUMMYFUNCTION("ARRAYFORMULA(TRIM(SPLIT(B170, "","")))
"),"Comedy")</f>
        <v>Comedy</v>
      </c>
      <c r="D170" s="11" t="str">
        <f>IFERROR(__xludf.DUMMYFUNCTION("""COMPUTED_VALUE"""),"Romance")</f>
        <v>Romance</v>
      </c>
      <c r="J170" s="58"/>
      <c r="W170" s="51">
        <f>IFERROR(__xludf.DUMMYFUNCTION("""COMPUTED_VALUE"""),42937.0)</f>
        <v>42937</v>
      </c>
      <c r="X170" s="5" t="str">
        <f>IFERROR(__xludf.DUMMYFUNCTION("FILTER(
  Movies!F170:F1000,
  DATEVALUE(Movies!B170:B1000) = W170
)
"),"#N/A")</f>
        <v>#N/A</v>
      </c>
      <c r="Y170" s="5"/>
      <c r="Z170" s="5"/>
      <c r="AA170" s="5"/>
      <c r="AB170" s="5"/>
    </row>
    <row r="171">
      <c r="B171" s="11" t="str">
        <f>Movies!C171</f>
        <v>Action, Drama, History</v>
      </c>
      <c r="C171" s="11" t="str">
        <f>IFERROR(__xludf.DUMMYFUNCTION("ARRAYFORMULA(TRIM(SPLIT(B171, "","")))
"),"Action")</f>
        <v>Action</v>
      </c>
      <c r="D171" s="11" t="str">
        <f>IFERROR(__xludf.DUMMYFUNCTION("""COMPUTED_VALUE"""),"Drama")</f>
        <v>Drama</v>
      </c>
      <c r="E171" s="11" t="str">
        <f>IFERROR(__xludf.DUMMYFUNCTION("""COMPUTED_VALUE"""),"History")</f>
        <v>History</v>
      </c>
      <c r="J171" s="58"/>
      <c r="W171" s="51">
        <f>IFERROR(__xludf.DUMMYFUNCTION("""COMPUTED_VALUE"""),42965.0)</f>
        <v>42965</v>
      </c>
      <c r="X171" s="5" t="str">
        <f>IFERROR(__xludf.DUMMYFUNCTION("FILTER(
  Movies!F171:F1000,
  DATEVALUE(Movies!B171:B1000) = W171
)
"),"#N/A")</f>
        <v>#N/A</v>
      </c>
      <c r="Y171" s="5"/>
      <c r="Z171" s="5"/>
      <c r="AA171" s="5"/>
      <c r="AB171" s="5"/>
    </row>
    <row r="172">
      <c r="B172" s="11" t="str">
        <f>Movies!C172</f>
        <v>Action, Crime, Thriller</v>
      </c>
      <c r="C172" s="11" t="str">
        <f>IFERROR(__xludf.DUMMYFUNCTION("ARRAYFORMULA(TRIM(SPLIT(B172, "","")))
"),"Action")</f>
        <v>Action</v>
      </c>
      <c r="D172" s="11" t="str">
        <f>IFERROR(__xludf.DUMMYFUNCTION("""COMPUTED_VALUE"""),"Crime")</f>
        <v>Crime</v>
      </c>
      <c r="E172" s="11" t="str">
        <f>IFERROR(__xludf.DUMMYFUNCTION("""COMPUTED_VALUE"""),"Thriller")</f>
        <v>Thriller</v>
      </c>
      <c r="J172" s="58"/>
      <c r="W172" s="51">
        <f>IFERROR(__xludf.DUMMYFUNCTION("""COMPUTED_VALUE"""),42971.0)</f>
        <v>42971</v>
      </c>
      <c r="X172" s="40">
        <f>IFERROR(__xludf.DUMMYFUNCTION("FILTER(
  Movies!F172:F1000,
  DATEVALUE(Movies!B172:B1000) = W172
)
"),6.983333333333333)</f>
        <v>6.983333333</v>
      </c>
      <c r="Y172" s="5"/>
      <c r="Z172" s="5"/>
      <c r="AA172" s="5"/>
      <c r="AB172" s="5"/>
    </row>
    <row r="173">
      <c r="B173" s="11" t="str">
        <f>Movies!C173</f>
        <v>Action, Crime, Drama</v>
      </c>
      <c r="C173" s="11" t="str">
        <f>IFERROR(__xludf.DUMMYFUNCTION("ARRAYFORMULA(TRIM(SPLIT(B173, "","")))
"),"Action")</f>
        <v>Action</v>
      </c>
      <c r="D173" s="11" t="str">
        <f>IFERROR(__xludf.DUMMYFUNCTION("""COMPUTED_VALUE"""),"Crime")</f>
        <v>Crime</v>
      </c>
      <c r="E173" s="11" t="str">
        <f>IFERROR(__xludf.DUMMYFUNCTION("""COMPUTED_VALUE"""),"Drama")</f>
        <v>Drama</v>
      </c>
      <c r="J173" s="58"/>
      <c r="W173" s="51">
        <f>IFERROR(__xludf.DUMMYFUNCTION("""COMPUTED_VALUE"""),42986.0)</f>
        <v>42986</v>
      </c>
      <c r="X173" s="5" t="str">
        <f>IFERROR(__xludf.DUMMYFUNCTION("FILTER(
  Movies!F173:F1000,
  DATEVALUE(Movies!B173:B1000) = W173
)
"),"#N/A")</f>
        <v>#N/A</v>
      </c>
      <c r="Y173" s="5"/>
      <c r="Z173" s="5"/>
      <c r="AA173" s="5"/>
      <c r="AB173" s="5"/>
    </row>
    <row r="174">
      <c r="B174" s="11" t="str">
        <f>Movies!C174</f>
        <v>Action, Adventure, Horror</v>
      </c>
      <c r="C174" s="11" t="str">
        <f>IFERROR(__xludf.DUMMYFUNCTION("ARRAYFORMULA(TRIM(SPLIT(B174, "","")))
"),"Action")</f>
        <v>Action</v>
      </c>
      <c r="D174" s="11" t="str">
        <f>IFERROR(__xludf.DUMMYFUNCTION("""COMPUTED_VALUE"""),"Adventure")</f>
        <v>Adventure</v>
      </c>
      <c r="E174" s="11" t="str">
        <f>IFERROR(__xludf.DUMMYFUNCTION("""COMPUTED_VALUE"""),"Horror")</f>
        <v>Horror</v>
      </c>
      <c r="J174" s="58"/>
      <c r="W174" s="51">
        <f>IFERROR(__xludf.DUMMYFUNCTION("""COMPUTED_VALUE"""),43014.0)</f>
        <v>43014</v>
      </c>
      <c r="X174" s="5" t="str">
        <f>IFERROR(__xludf.DUMMYFUNCTION("FILTER(
  Movies!F174:F1000,
  DATEVALUE(Movies!B174:B1000) = W174
)
"),"#N/A")</f>
        <v>#N/A</v>
      </c>
      <c r="Y174" s="5"/>
      <c r="Z174" s="5"/>
      <c r="AA174" s="5"/>
      <c r="AB174" s="5"/>
    </row>
    <row r="175">
      <c r="B175" s="11" t="str">
        <f>Movies!C175</f>
        <v>Action, Sci-Fi, Thriller</v>
      </c>
      <c r="C175" s="11" t="str">
        <f>IFERROR(__xludf.DUMMYFUNCTION("ARRAYFORMULA(TRIM(SPLIT(B175, "","")))
"),"Action")</f>
        <v>Action</v>
      </c>
      <c r="D175" s="11" t="str">
        <f>IFERROR(__xludf.DUMMYFUNCTION("""COMPUTED_VALUE"""),"Sci-Fi")</f>
        <v>Sci-Fi</v>
      </c>
      <c r="E175" s="11" t="str">
        <f>IFERROR(__xludf.DUMMYFUNCTION("""COMPUTED_VALUE"""),"Thriller")</f>
        <v>Thriller</v>
      </c>
      <c r="J175" s="58"/>
      <c r="W175" s="51">
        <f>IFERROR(__xludf.DUMMYFUNCTION("""COMPUTED_VALUE"""),43028.0)</f>
        <v>43028</v>
      </c>
      <c r="X175" s="5" t="str">
        <f>IFERROR(__xludf.DUMMYFUNCTION("FILTER(
  Movies!F175:F1000,
  DATEVALUE(Movies!B175:B1000) = W175
)
"),"#N/A")</f>
        <v>#N/A</v>
      </c>
      <c r="Y175" s="5"/>
      <c r="Z175" s="5"/>
      <c r="AA175" s="5"/>
      <c r="AB175" s="5"/>
    </row>
    <row r="176">
      <c r="B176" s="11" t="str">
        <f>Movies!C176</f>
        <v>Action, Comedy, Drama</v>
      </c>
      <c r="C176" s="11" t="str">
        <f>IFERROR(__xludf.DUMMYFUNCTION("ARRAYFORMULA(TRIM(SPLIT(B176, "","")))
"),"Action")</f>
        <v>Action</v>
      </c>
      <c r="D176" s="11" t="str">
        <f>IFERROR(__xludf.DUMMYFUNCTION("""COMPUTED_VALUE"""),"Comedy")</f>
        <v>Comedy</v>
      </c>
      <c r="E176" s="11" t="str">
        <f>IFERROR(__xludf.DUMMYFUNCTION("""COMPUTED_VALUE"""),"Drama")</f>
        <v>Drama</v>
      </c>
      <c r="J176" s="58"/>
      <c r="W176" s="51">
        <f>IFERROR(__xludf.DUMMYFUNCTION("""COMPUTED_VALUE"""),43042.0)</f>
        <v>43042</v>
      </c>
      <c r="X176" s="5" t="str">
        <f>IFERROR(__xludf.DUMMYFUNCTION("FILTER(
  Movies!F176:F1000,
  DATEVALUE(Movies!B176:B1000) = W176
)
"),"#N/A")</f>
        <v>#N/A</v>
      </c>
      <c r="Y176" s="5"/>
      <c r="Z176" s="5"/>
      <c r="AA176" s="5"/>
      <c r="AB176" s="5"/>
    </row>
    <row r="177">
      <c r="B177" s="11" t="str">
        <f>Movies!C177</f>
        <v>Action, Adventure, Sci-Fi</v>
      </c>
      <c r="C177" s="11" t="str">
        <f>IFERROR(__xludf.DUMMYFUNCTION("ARRAYFORMULA(TRIM(SPLIT(B177, "","")))
"),"Action")</f>
        <v>Action</v>
      </c>
      <c r="D177" s="11" t="str">
        <f>IFERROR(__xludf.DUMMYFUNCTION("""COMPUTED_VALUE"""),"Adventure")</f>
        <v>Adventure</v>
      </c>
      <c r="E177" s="11" t="str">
        <f>IFERROR(__xludf.DUMMYFUNCTION("""COMPUTED_VALUE"""),"Sci-Fi")</f>
        <v>Sci-Fi</v>
      </c>
      <c r="J177" s="58"/>
      <c r="W177" s="51">
        <f>IFERROR(__xludf.DUMMYFUNCTION("""COMPUTED_VALUE"""),43061.0)</f>
        <v>43061</v>
      </c>
      <c r="X177" s="40">
        <f>IFERROR(__xludf.DUMMYFUNCTION("FILTER(
  Movies!F177:F1000,
  DATEVALUE(Movies!B177:B1000) = W177
)
"),6.45)</f>
        <v>6.45</v>
      </c>
      <c r="Y177" s="5"/>
      <c r="Z177" s="5"/>
      <c r="AA177" s="5"/>
      <c r="AB177" s="5"/>
    </row>
    <row r="178">
      <c r="B178" s="11" t="str">
        <f>Movies!C178</f>
        <v>Action, Adventure, Drama</v>
      </c>
      <c r="C178" s="11" t="str">
        <f>IFERROR(__xludf.DUMMYFUNCTION("ARRAYFORMULA(TRIM(SPLIT(B178, "","")))
"),"Action")</f>
        <v>Action</v>
      </c>
      <c r="D178" s="11" t="str">
        <f>IFERROR(__xludf.DUMMYFUNCTION("""COMPUTED_VALUE"""),"Adventure")</f>
        <v>Adventure</v>
      </c>
      <c r="E178" s="11" t="str">
        <f>IFERROR(__xludf.DUMMYFUNCTION("""COMPUTED_VALUE"""),"Drama")</f>
        <v>Drama</v>
      </c>
      <c r="J178" s="58"/>
      <c r="W178" s="51">
        <f>IFERROR(__xludf.DUMMYFUNCTION("""COMPUTED_VALUE"""),43089.0)</f>
        <v>43089</v>
      </c>
      <c r="X178" s="40">
        <f>IFERROR(__xludf.DUMMYFUNCTION("FILTER(
  Movies!F178:F1000,
  DATEVALUE(Movies!B178:B1000) = W178
)
"),7.0)</f>
        <v>7</v>
      </c>
      <c r="Y178" s="5"/>
      <c r="Z178" s="5"/>
      <c r="AA178" s="5"/>
      <c r="AB178" s="5"/>
    </row>
    <row r="179">
      <c r="B179" s="11" t="str">
        <f>Movies!C179</f>
        <v>Horror, Mystery, Sci-Fi</v>
      </c>
      <c r="C179" s="11" t="str">
        <f>IFERROR(__xludf.DUMMYFUNCTION("ARRAYFORMULA(TRIM(SPLIT(B179, "","")))
"),"Horror")</f>
        <v>Horror</v>
      </c>
      <c r="D179" s="11" t="str">
        <f>IFERROR(__xludf.DUMMYFUNCTION("""COMPUTED_VALUE"""),"Mystery")</f>
        <v>Mystery</v>
      </c>
      <c r="E179" s="11" t="str">
        <f>IFERROR(__xludf.DUMMYFUNCTION("""COMPUTED_VALUE"""),"Sci-Fi")</f>
        <v>Sci-Fi</v>
      </c>
      <c r="J179" s="58"/>
      <c r="W179" s="51">
        <f>IFERROR(__xludf.DUMMYFUNCTION("""COMPUTED_VALUE"""),43126.0)</f>
        <v>43126</v>
      </c>
      <c r="X179" s="5" t="str">
        <f>IFERROR(__xludf.DUMMYFUNCTION("FILTER(
  Movies!F179:F1000,
  DATEVALUE(Movies!B179:B1000) = W179
)
"),"#N/A")</f>
        <v>#N/A</v>
      </c>
      <c r="Y179" s="5"/>
      <c r="Z179" s="5"/>
      <c r="AA179" s="5"/>
      <c r="AB179" s="5"/>
    </row>
    <row r="180">
      <c r="B180" s="11" t="str">
        <f>Movies!C180</f>
        <v>Crime, Sci-Fi</v>
      </c>
      <c r="C180" s="11" t="str">
        <f>IFERROR(__xludf.DUMMYFUNCTION("ARRAYFORMULA(TRIM(SPLIT(B180, "","")))
"),"Crime")</f>
        <v>Crime</v>
      </c>
      <c r="D180" s="11" t="str">
        <f>IFERROR(__xludf.DUMMYFUNCTION("""COMPUTED_VALUE"""),"Sci-Fi")</f>
        <v>Sci-Fi</v>
      </c>
      <c r="J180" s="58"/>
      <c r="W180" s="51">
        <f>IFERROR(__xludf.DUMMYFUNCTION("""COMPUTED_VALUE"""),43135.0)</f>
        <v>43135</v>
      </c>
      <c r="X180" s="40">
        <f>IFERROR(__xludf.DUMMYFUNCTION("FILTER(
  Movies!F180:F1000,
  DATEVALUE(Movies!B180:B1000) = W180
)
"),4.766666666666667)</f>
        <v>4.766666667</v>
      </c>
      <c r="Y180" s="5"/>
      <c r="Z180" s="5"/>
      <c r="AA180" s="5"/>
      <c r="AB180" s="5"/>
    </row>
    <row r="181">
      <c r="B181" s="11" t="str">
        <f>Movies!C181</f>
        <v>Drama, Fantasy, Romance</v>
      </c>
      <c r="C181" s="11" t="str">
        <f>IFERROR(__xludf.DUMMYFUNCTION("ARRAYFORMULA(TRIM(SPLIT(B181, "","")))
"),"Drama")</f>
        <v>Drama</v>
      </c>
      <c r="D181" s="11" t="str">
        <f>IFERROR(__xludf.DUMMYFUNCTION("""COMPUTED_VALUE"""),"Fantasy")</f>
        <v>Fantasy</v>
      </c>
      <c r="E181" s="11" t="str">
        <f>IFERROR(__xludf.DUMMYFUNCTION("""COMPUTED_VALUE"""),"Romance")</f>
        <v>Romance</v>
      </c>
      <c r="J181" s="58"/>
      <c r="W181" s="51">
        <f>IFERROR(__xludf.DUMMYFUNCTION("""COMPUTED_VALUE"""),43147.0)</f>
        <v>43147</v>
      </c>
      <c r="X181" s="5" t="str">
        <f>IFERROR(__xludf.DUMMYFUNCTION("FILTER(
  Movies!F181:F1000,
  DATEVALUE(Movies!B181:B1000) = W181
)
"),"#N/A")</f>
        <v>#N/A</v>
      </c>
      <c r="Y181" s="5"/>
      <c r="Z181" s="5"/>
      <c r="AA181" s="5"/>
      <c r="AB181" s="5"/>
    </row>
    <row r="182">
      <c r="B182" s="11" t="str">
        <f>Movies!C182</f>
        <v>Action, Adventure, Comedy</v>
      </c>
      <c r="C182" s="11" t="str">
        <f>IFERROR(__xludf.DUMMYFUNCTION("ARRAYFORMULA(TRIM(SPLIT(B182, "","")))
"),"Action")</f>
        <v>Action</v>
      </c>
      <c r="D182" s="11" t="str">
        <f>IFERROR(__xludf.DUMMYFUNCTION("""COMPUTED_VALUE"""),"Adventure")</f>
        <v>Adventure</v>
      </c>
      <c r="E182" s="11" t="str">
        <f>IFERROR(__xludf.DUMMYFUNCTION("""COMPUTED_VALUE"""),"Comedy")</f>
        <v>Comedy</v>
      </c>
      <c r="J182" s="58"/>
      <c r="W182" s="51">
        <f>IFERROR(__xludf.DUMMYFUNCTION("""COMPUTED_VALUE"""),43182.0)</f>
        <v>43182</v>
      </c>
      <c r="X182" s="40">
        <f>IFERROR(__xludf.DUMMYFUNCTION("FILTER(
  Movies!F182:F1000,
  DATEVALUE(Movies!B182:B1000) = W182
)
"),6.333333333333333)</f>
        <v>6.333333333</v>
      </c>
      <c r="Y182" s="5"/>
      <c r="Z182" s="5"/>
      <c r="AA182" s="5"/>
      <c r="AB182" s="5"/>
    </row>
    <row r="183">
      <c r="B183" s="11" t="str">
        <f>Movies!C183</f>
        <v>Crime, Mystery, Thriller</v>
      </c>
      <c r="C183" s="11" t="str">
        <f>IFERROR(__xludf.DUMMYFUNCTION("ARRAYFORMULA(TRIM(SPLIT(B183, "","")))
"),"Crime")</f>
        <v>Crime</v>
      </c>
      <c r="D183" s="11" t="str">
        <f>IFERROR(__xludf.DUMMYFUNCTION("""COMPUTED_VALUE"""),"Mystery")</f>
        <v>Mystery</v>
      </c>
      <c r="E183" s="11" t="str">
        <f>IFERROR(__xludf.DUMMYFUNCTION("""COMPUTED_VALUE"""),"Thriller")</f>
        <v>Thriller</v>
      </c>
      <c r="J183" s="58"/>
      <c r="W183" s="51">
        <f>IFERROR(__xludf.DUMMYFUNCTION("""COMPUTED_VALUE"""),43188.0)</f>
        <v>43188</v>
      </c>
      <c r="X183" s="40">
        <f>IFERROR(__xludf.DUMMYFUNCTION("FILTER(
  Movies!F183:F1000,
  DATEVALUE(Movies!B183:B1000) = W183
)
"),6.8500000000000005)</f>
        <v>6.85</v>
      </c>
      <c r="Y183" s="5"/>
      <c r="Z183" s="5"/>
      <c r="AA183" s="5"/>
      <c r="AB183" s="5"/>
    </row>
    <row r="184">
      <c r="B184" s="11" t="str">
        <f>Movies!C184</f>
        <v>Action, Adventure, Fantasy</v>
      </c>
      <c r="C184" s="11" t="str">
        <f>IFERROR(__xludf.DUMMYFUNCTION("ARRAYFORMULA(TRIM(SPLIT(B184, "","")))
"),"Action")</f>
        <v>Action</v>
      </c>
      <c r="D184" s="11" t="str">
        <f>IFERROR(__xludf.DUMMYFUNCTION("""COMPUTED_VALUE"""),"Adventure")</f>
        <v>Adventure</v>
      </c>
      <c r="E184" s="11" t="str">
        <f>IFERROR(__xludf.DUMMYFUNCTION("""COMPUTED_VALUE"""),"Fantasy")</f>
        <v>Fantasy</v>
      </c>
      <c r="J184" s="58"/>
      <c r="W184" s="51">
        <f>IFERROR(__xludf.DUMMYFUNCTION("""COMPUTED_VALUE"""),43203.0)</f>
        <v>43203</v>
      </c>
      <c r="X184" s="40">
        <f>IFERROR(__xludf.DUMMYFUNCTION("FILTER(
  Movies!F184:F1000,
  DATEVALUE(Movies!B184:B1000) = W184
)
"),6.583333333333333)</f>
        <v>6.583333333</v>
      </c>
      <c r="Y184" s="5"/>
      <c r="Z184" s="5"/>
      <c r="AA184" s="5"/>
      <c r="AB184" s="5"/>
    </row>
    <row r="185">
      <c r="B185" s="11" t="str">
        <f>Movies!C185</f>
        <v>Action, Adventure, Comedy</v>
      </c>
      <c r="C185" s="11" t="str">
        <f>IFERROR(__xludf.DUMMYFUNCTION("ARRAYFORMULA(TRIM(SPLIT(B185, "","")))
"),"Action")</f>
        <v>Action</v>
      </c>
      <c r="D185" s="11" t="str">
        <f>IFERROR(__xludf.DUMMYFUNCTION("""COMPUTED_VALUE"""),"Adventure")</f>
        <v>Adventure</v>
      </c>
      <c r="E185" s="11" t="str">
        <f>IFERROR(__xludf.DUMMYFUNCTION("""COMPUTED_VALUE"""),"Comedy")</f>
        <v>Comedy</v>
      </c>
      <c r="J185" s="58"/>
      <c r="W185" s="51">
        <f>IFERROR(__xludf.DUMMYFUNCTION("""COMPUTED_VALUE"""),43217.0)</f>
        <v>43217</v>
      </c>
      <c r="X185" s="5" t="str">
        <f>IFERROR(__xludf.DUMMYFUNCTION("FILTER(
  Movies!F185:F1000,
  DATEVALUE(Movies!B185:B1000) = W185
)
"),"#N/A")</f>
        <v>#N/A</v>
      </c>
      <c r="Y185" s="5"/>
      <c r="Z185" s="5"/>
      <c r="AA185" s="5"/>
      <c r="AB185" s="5"/>
    </row>
    <row r="186">
      <c r="B186" s="11" t="str">
        <f>Movies!C186</f>
        <v>Action, Adventure, Comedy</v>
      </c>
      <c r="C186" s="11" t="str">
        <f>IFERROR(__xludf.DUMMYFUNCTION("ARRAYFORMULA(TRIM(SPLIT(B186, "","")))
"),"Action")</f>
        <v>Action</v>
      </c>
      <c r="D186" s="11" t="str">
        <f>IFERROR(__xludf.DUMMYFUNCTION("""COMPUTED_VALUE"""),"Adventure")</f>
        <v>Adventure</v>
      </c>
      <c r="E186" s="11" t="str">
        <f>IFERROR(__xludf.DUMMYFUNCTION("""COMPUTED_VALUE"""),"Comedy")</f>
        <v>Comedy</v>
      </c>
      <c r="J186" s="58"/>
      <c r="W186" s="51">
        <f>IFERROR(__xludf.DUMMYFUNCTION("""COMPUTED_VALUE"""),43238.0)</f>
        <v>43238</v>
      </c>
      <c r="X186" s="5" t="str">
        <f>IFERROR(__xludf.DUMMYFUNCTION("FILTER(
  Movies!F186:F1000,
  DATEVALUE(Movies!B186:B1000) = W186
)
"),"#N/A")</f>
        <v>#N/A</v>
      </c>
      <c r="Y186" s="5"/>
      <c r="Z186" s="5"/>
      <c r="AA186" s="5"/>
      <c r="AB186" s="5"/>
    </row>
    <row r="187">
      <c r="B187" s="11" t="str">
        <f>Movies!C187</f>
        <v>Action, Drama, Mystery</v>
      </c>
      <c r="C187" s="11" t="str">
        <f>IFERROR(__xludf.DUMMYFUNCTION("ARRAYFORMULA(TRIM(SPLIT(B187, "","")))
"),"Action")</f>
        <v>Action</v>
      </c>
      <c r="D187" s="11" t="str">
        <f>IFERROR(__xludf.DUMMYFUNCTION("""COMPUTED_VALUE"""),"Drama")</f>
        <v>Drama</v>
      </c>
      <c r="E187" s="11" t="str">
        <f>IFERROR(__xludf.DUMMYFUNCTION("""COMPUTED_VALUE"""),"Mystery")</f>
        <v>Mystery</v>
      </c>
      <c r="J187" s="58"/>
      <c r="W187" s="51">
        <f>IFERROR(__xludf.DUMMYFUNCTION("""COMPUTED_VALUE"""),43252.0)</f>
        <v>43252</v>
      </c>
      <c r="X187" s="5" t="str">
        <f>IFERROR(__xludf.DUMMYFUNCTION("FILTER(
  Movies!F187:F1000,
  DATEVALUE(Movies!B187:B1000) = W187
)
"),"#N/A")</f>
        <v>#N/A</v>
      </c>
      <c r="Y187" s="5"/>
      <c r="Z187" s="5"/>
      <c r="AA187" s="5"/>
      <c r="AB187" s="5"/>
    </row>
    <row r="188">
      <c r="B188" s="11" t="str">
        <f>Movies!C188</f>
        <v>Action, Adventure, Fantasy</v>
      </c>
      <c r="C188" s="11" t="str">
        <f>IFERROR(__xludf.DUMMYFUNCTION("ARRAYFORMULA(TRIM(SPLIT(B188, "","")))
"),"Action")</f>
        <v>Action</v>
      </c>
      <c r="D188" s="11" t="str">
        <f>IFERROR(__xludf.DUMMYFUNCTION("""COMPUTED_VALUE"""),"Adventure")</f>
        <v>Adventure</v>
      </c>
      <c r="E188" s="11" t="str">
        <f>IFERROR(__xludf.DUMMYFUNCTION("""COMPUTED_VALUE"""),"Fantasy")</f>
        <v>Fantasy</v>
      </c>
      <c r="J188" s="58"/>
      <c r="W188" s="51">
        <f>IFERROR(__xludf.DUMMYFUNCTION("""COMPUTED_VALUE"""),43280.0)</f>
        <v>43280</v>
      </c>
      <c r="X188" s="5" t="str">
        <f>IFERROR(__xludf.DUMMYFUNCTION("FILTER(
  Movies!F188:F1000,
  DATEVALUE(Movies!B188:B1000) = W188
)
"),"#N/A")</f>
        <v>#N/A</v>
      </c>
      <c r="Y188" s="5"/>
      <c r="Z188" s="5"/>
      <c r="AA188" s="5"/>
      <c r="AB188" s="5"/>
    </row>
    <row r="189">
      <c r="B189" s="11" t="str">
        <f>Movies!C189</f>
        <v>Drama, Fantasy, Mystery</v>
      </c>
      <c r="C189" s="11" t="str">
        <f>IFERROR(__xludf.DUMMYFUNCTION("ARRAYFORMULA(TRIM(SPLIT(B189, "","")))
"),"Drama")</f>
        <v>Drama</v>
      </c>
      <c r="D189" s="11" t="str">
        <f>IFERROR(__xludf.DUMMYFUNCTION("""COMPUTED_VALUE"""),"Fantasy")</f>
        <v>Fantasy</v>
      </c>
      <c r="E189" s="11" t="str">
        <f>IFERROR(__xludf.DUMMYFUNCTION("""COMPUTED_VALUE"""),"Mystery")</f>
        <v>Mystery</v>
      </c>
      <c r="J189" s="58"/>
      <c r="W189" s="51">
        <f>IFERROR(__xludf.DUMMYFUNCTION("""COMPUTED_VALUE"""),43287.0)</f>
        <v>43287</v>
      </c>
      <c r="X189" s="40">
        <f>IFERROR(__xludf.DUMMYFUNCTION("FILTER(
  Movies!F189:F1000,
  DATEVALUE(Movies!B189:B1000) = W189
)
"),5.983333333333334)</f>
        <v>5.983333333</v>
      </c>
      <c r="Y189" s="5"/>
      <c r="Z189" s="5"/>
      <c r="AA189" s="5"/>
      <c r="AB189" s="5"/>
    </row>
    <row r="190">
      <c r="B190" s="11" t="str">
        <f>Movies!C190</f>
        <v>Animation, Action, Adventure</v>
      </c>
      <c r="C190" s="11" t="str">
        <f>IFERROR(__xludf.DUMMYFUNCTION("ARRAYFORMULA(TRIM(SPLIT(B190, "","")))
"),"Animation")</f>
        <v>Animation</v>
      </c>
      <c r="D190" s="11" t="str">
        <f>IFERROR(__xludf.DUMMYFUNCTION("""COMPUTED_VALUE"""),"Action")</f>
        <v>Action</v>
      </c>
      <c r="E190" s="11" t="str">
        <f>IFERROR(__xludf.DUMMYFUNCTION("""COMPUTED_VALUE"""),"Adventure")</f>
        <v>Adventure</v>
      </c>
      <c r="J190" s="58"/>
      <c r="W190" s="51">
        <f>IFERROR(__xludf.DUMMYFUNCTION("""COMPUTED_VALUE"""),43301.0)</f>
        <v>43301</v>
      </c>
      <c r="X190" s="5" t="str">
        <f>IFERROR(__xludf.DUMMYFUNCTION("FILTER(
  Movies!F190:F1000,
  DATEVALUE(Movies!B190:B1000) = W190
)
"),"#N/A")</f>
        <v>#N/A</v>
      </c>
      <c r="Y190" s="5"/>
      <c r="Z190" s="5"/>
      <c r="AA190" s="5"/>
      <c r="AB190" s="5"/>
    </row>
    <row r="191">
      <c r="B191" s="11" t="str">
        <f>Movies!C191</f>
        <v>Action, Comedy, Horror</v>
      </c>
      <c r="C191" s="11" t="str">
        <f>IFERROR(__xludf.DUMMYFUNCTION("ARRAYFORMULA(TRIM(SPLIT(B191, "","")))
"),"Action")</f>
        <v>Action</v>
      </c>
      <c r="D191" s="11" t="str">
        <f>IFERROR(__xludf.DUMMYFUNCTION("""COMPUTED_VALUE"""),"Comedy")</f>
        <v>Comedy</v>
      </c>
      <c r="E191" s="11" t="str">
        <f>IFERROR(__xludf.DUMMYFUNCTION("""COMPUTED_VALUE"""),"Horror")</f>
        <v>Horror</v>
      </c>
      <c r="J191" s="58"/>
      <c r="W191" s="51">
        <f>IFERROR(__xludf.DUMMYFUNCTION("""COMPUTED_VALUE"""),43327.0)</f>
        <v>43327</v>
      </c>
      <c r="X191" s="40">
        <f>IFERROR(__xludf.DUMMYFUNCTION("FILTER(
  Movies!F191:F1000,
  DATEVALUE(Movies!B191:B1000) = W191
)
"),6.900000000000001)</f>
        <v>6.9</v>
      </c>
      <c r="Y191" s="5"/>
      <c r="Z191" s="5"/>
      <c r="AA191" s="5"/>
      <c r="AB191" s="5"/>
    </row>
    <row r="192">
      <c r="B192" s="11" t="str">
        <f>Movies!C192</f>
        <v>Action, Adventure, Thriller</v>
      </c>
      <c r="C192" s="11" t="str">
        <f>IFERROR(__xludf.DUMMYFUNCTION("ARRAYFORMULA(TRIM(SPLIT(B192, "","")))
"),"Action")</f>
        <v>Action</v>
      </c>
      <c r="D192" s="11" t="str">
        <f>IFERROR(__xludf.DUMMYFUNCTION("""COMPUTED_VALUE"""),"Adventure")</f>
        <v>Adventure</v>
      </c>
      <c r="E192" s="11" t="str">
        <f>IFERROR(__xludf.DUMMYFUNCTION("""COMPUTED_VALUE"""),"Thriller")</f>
        <v>Thriller</v>
      </c>
      <c r="J192" s="58"/>
      <c r="W192" s="51">
        <f>IFERROR(__xludf.DUMMYFUNCTION("""COMPUTED_VALUE"""),43420.0)</f>
        <v>43420</v>
      </c>
      <c r="X192" s="5" t="str">
        <f>IFERROR(__xludf.DUMMYFUNCTION("FILTER(
  Movies!F192:F1000,
  DATEVALUE(Movies!B192:B1000) = W192
)
"),"#N/A")</f>
        <v>#N/A</v>
      </c>
      <c r="Y192" s="5"/>
      <c r="Z192" s="5"/>
      <c r="AA192" s="5"/>
      <c r="AB192" s="5"/>
    </row>
    <row r="193">
      <c r="B193" s="11" t="str">
        <f>Movies!C193</f>
        <v>Action, Adventure, Comedy</v>
      </c>
      <c r="C193" s="11" t="str">
        <f>IFERROR(__xludf.DUMMYFUNCTION("ARRAYFORMULA(TRIM(SPLIT(B193, "","")))
"),"Action")</f>
        <v>Action</v>
      </c>
      <c r="D193" s="11" t="str">
        <f>IFERROR(__xludf.DUMMYFUNCTION("""COMPUTED_VALUE"""),"Adventure")</f>
        <v>Adventure</v>
      </c>
      <c r="E193" s="11" t="str">
        <f>IFERROR(__xludf.DUMMYFUNCTION("""COMPUTED_VALUE"""),"Comedy")</f>
        <v>Comedy</v>
      </c>
      <c r="J193" s="58"/>
      <c r="W193" s="51">
        <f>IFERROR(__xludf.DUMMYFUNCTION("""COMPUTED_VALUE"""),43453.0)</f>
        <v>43453</v>
      </c>
      <c r="X193" s="5" t="str">
        <f>IFERROR(__xludf.DUMMYFUNCTION("FILTER(
  Movies!F193:F1000,
  DATEVALUE(Movies!B193:B1000) = W193
)
"),"#N/A")</f>
        <v>#N/A</v>
      </c>
      <c r="Y193" s="5"/>
      <c r="Z193" s="5"/>
      <c r="AA193" s="5"/>
      <c r="AB193" s="5"/>
    </row>
    <row r="194">
      <c r="B194" s="11" t="str">
        <f>Movies!C194</f>
        <v>Action, Adventure, Sci-Fi</v>
      </c>
      <c r="C194" s="11" t="str">
        <f>IFERROR(__xludf.DUMMYFUNCTION("ARRAYFORMULA(TRIM(SPLIT(B194, "","")))
"),"Action")</f>
        <v>Action</v>
      </c>
      <c r="D194" s="11" t="str">
        <f>IFERROR(__xludf.DUMMYFUNCTION("""COMPUTED_VALUE"""),"Adventure")</f>
        <v>Adventure</v>
      </c>
      <c r="E194" s="11" t="str">
        <f>IFERROR(__xludf.DUMMYFUNCTION("""COMPUTED_VALUE"""),"Sci-Fi")</f>
        <v>Sci-Fi</v>
      </c>
      <c r="J194" s="58"/>
      <c r="W194" s="51">
        <f>IFERROR(__xludf.DUMMYFUNCTION("""COMPUTED_VALUE"""),43455.0)</f>
        <v>43455</v>
      </c>
      <c r="X194" s="40">
        <f>IFERROR(__xludf.DUMMYFUNCTION("FILTER(
  Movies!F194:F1000,
  DATEVALUE(Movies!B194:B1000) = W194
)
"),6.233333333333333)</f>
        <v>6.233333333</v>
      </c>
      <c r="Y194" s="5"/>
      <c r="Z194" s="5"/>
      <c r="AA194" s="5"/>
      <c r="AB194" s="5"/>
    </row>
    <row r="195">
      <c r="B195" s="11" t="str">
        <f>Movies!C195</f>
        <v>Comedy, Music, Romance</v>
      </c>
      <c r="C195" s="11" t="str">
        <f>IFERROR(__xludf.DUMMYFUNCTION("ARRAYFORMULA(TRIM(SPLIT(B195, "","")))
"),"Comedy")</f>
        <v>Comedy</v>
      </c>
      <c r="D195" s="11" t="str">
        <f>IFERROR(__xludf.DUMMYFUNCTION("""COMPUTED_VALUE"""),"Music")</f>
        <v>Music</v>
      </c>
      <c r="E195" s="11" t="str">
        <f>IFERROR(__xludf.DUMMYFUNCTION("""COMPUTED_VALUE"""),"Romance")</f>
        <v>Romance</v>
      </c>
      <c r="J195" s="58"/>
      <c r="W195" s="51">
        <f>IFERROR(__xludf.DUMMYFUNCTION("""COMPUTED_VALUE"""),43518.0)</f>
        <v>43518</v>
      </c>
      <c r="X195" s="5" t="str">
        <f>IFERROR(__xludf.DUMMYFUNCTION("FILTER(
  Movies!F195:F1000,
  DATEVALUE(Movies!B195:B1000) = W195
)
"),"#N/A")</f>
        <v>#N/A</v>
      </c>
      <c r="Y195" s="5"/>
      <c r="Z195" s="5"/>
      <c r="AA195" s="5"/>
      <c r="AB195" s="5"/>
    </row>
    <row r="196">
      <c r="B196" s="11" t="str">
        <f>Movies!C196</f>
        <v>Adventure, Comedy, Fantasy</v>
      </c>
      <c r="C196" s="11" t="str">
        <f>IFERROR(__xludf.DUMMYFUNCTION("ARRAYFORMULA(TRIM(SPLIT(B196, "","")))
"),"Adventure")</f>
        <v>Adventure</v>
      </c>
      <c r="D196" s="11" t="str">
        <f>IFERROR(__xludf.DUMMYFUNCTION("""COMPUTED_VALUE"""),"Comedy")</f>
        <v>Comedy</v>
      </c>
      <c r="E196" s="11" t="str">
        <f>IFERROR(__xludf.DUMMYFUNCTION("""COMPUTED_VALUE"""),"Fantasy")</f>
        <v>Fantasy</v>
      </c>
      <c r="J196" s="58"/>
      <c r="W196" s="51">
        <f>IFERROR(__xludf.DUMMYFUNCTION("""COMPUTED_VALUE"""),43581.0)</f>
        <v>43581</v>
      </c>
      <c r="X196" s="5" t="str">
        <f>IFERROR(__xludf.DUMMYFUNCTION("FILTER(
  Movies!F196:F1000,
  DATEVALUE(Movies!B196:B1000) = W196
)
"),"#N/A")</f>
        <v>#N/A</v>
      </c>
      <c r="Y196" s="5"/>
      <c r="Z196" s="5"/>
      <c r="AA196" s="5"/>
      <c r="AB196" s="5"/>
    </row>
    <row r="197">
      <c r="B197" s="11" t="str">
        <f>Movies!C197</f>
        <v>Action, Adventure, Drama</v>
      </c>
      <c r="C197" s="11" t="str">
        <f>IFERROR(__xludf.DUMMYFUNCTION("ARRAYFORMULA(TRIM(SPLIT(B197, "","")))
"),"Action")</f>
        <v>Action</v>
      </c>
      <c r="D197" s="11" t="str">
        <f>IFERROR(__xludf.DUMMYFUNCTION("""COMPUTED_VALUE"""),"Adventure")</f>
        <v>Adventure</v>
      </c>
      <c r="E197" s="11" t="str">
        <f>IFERROR(__xludf.DUMMYFUNCTION("""COMPUTED_VALUE"""),"Drama")</f>
        <v>Drama</v>
      </c>
      <c r="J197" s="58"/>
      <c r="W197" s="51">
        <f>IFERROR(__xludf.DUMMYFUNCTION("""COMPUTED_VALUE"""),43648.0)</f>
        <v>43648</v>
      </c>
      <c r="X197" s="5" t="str">
        <f>IFERROR(__xludf.DUMMYFUNCTION("FILTER(
  Movies!F197:F1000,
  DATEVALUE(Movies!B197:B1000) = W197
)
"),"#N/A")</f>
        <v>#N/A</v>
      </c>
      <c r="Y197" s="5"/>
      <c r="Z197" s="5"/>
      <c r="AA197" s="5"/>
      <c r="AB197" s="5"/>
    </row>
    <row r="198">
      <c r="B198" s="11" t="str">
        <f>Movies!C198</f>
        <v>Action, Adventure, Crime</v>
      </c>
      <c r="C198" s="11" t="str">
        <f>IFERROR(__xludf.DUMMYFUNCTION("ARRAYFORMULA(TRIM(SPLIT(B198, "","")))
"),"Action")</f>
        <v>Action</v>
      </c>
      <c r="D198" s="11" t="str">
        <f>IFERROR(__xludf.DUMMYFUNCTION("""COMPUTED_VALUE"""),"Adventure")</f>
        <v>Adventure</v>
      </c>
      <c r="E198" s="11" t="str">
        <f>IFERROR(__xludf.DUMMYFUNCTION("""COMPUTED_VALUE"""),"Crime")</f>
        <v>Crime</v>
      </c>
      <c r="J198" s="58"/>
      <c r="W198" s="51">
        <f>IFERROR(__xludf.DUMMYFUNCTION("""COMPUTED_VALUE"""),43649.0)</f>
        <v>43649</v>
      </c>
      <c r="X198" s="40">
        <f>IFERROR(__xludf.DUMMYFUNCTION("FILTER(
  Movies!F198:F1000,
  DATEVALUE(Movies!B198:B1000) = W198
)
"),6.216666666666666)</f>
        <v>6.216666667</v>
      </c>
      <c r="Y198" s="5"/>
      <c r="Z198" s="5"/>
      <c r="AA198" s="5"/>
      <c r="AB198" s="5"/>
    </row>
    <row r="199">
      <c r="B199" s="11" t="str">
        <f>Movies!C199</f>
        <v>Animation, Comedy, Crime</v>
      </c>
      <c r="C199" s="11" t="str">
        <f>IFERROR(__xludf.DUMMYFUNCTION("ARRAYFORMULA(TRIM(SPLIT(B199, "","")))
"),"Animation")</f>
        <v>Animation</v>
      </c>
      <c r="D199" s="11" t="str">
        <f>IFERROR(__xludf.DUMMYFUNCTION("""COMPUTED_VALUE"""),"Comedy")</f>
        <v>Comedy</v>
      </c>
      <c r="E199" s="11" t="str">
        <f>IFERROR(__xludf.DUMMYFUNCTION("""COMPUTED_VALUE"""),"Crime")</f>
        <v>Crime</v>
      </c>
      <c r="J199" s="58"/>
      <c r="W199" s="51">
        <f>IFERROR(__xludf.DUMMYFUNCTION("""COMPUTED_VALUE"""),43698.0)</f>
        <v>43698</v>
      </c>
      <c r="X199" s="5" t="str">
        <f>IFERROR(__xludf.DUMMYFUNCTION("FILTER(
  Movies!F199:F1000,
  DATEVALUE(Movies!B199:B1000) = W199
)
"),"#N/A")</f>
        <v>#N/A</v>
      </c>
      <c r="Y199" s="5"/>
      <c r="Z199" s="5"/>
      <c r="AA199" s="5"/>
      <c r="AB199" s="5"/>
    </row>
    <row r="200">
      <c r="B200" s="11" t="str">
        <f>Movies!C200</f>
        <v>Action, Thriller</v>
      </c>
      <c r="C200" s="11" t="str">
        <f>IFERROR(__xludf.DUMMYFUNCTION("ARRAYFORMULA(TRIM(SPLIT(B200, "","")))
"),"Action")</f>
        <v>Action</v>
      </c>
      <c r="D200" s="11" t="str">
        <f>IFERROR(__xludf.DUMMYFUNCTION("""COMPUTED_VALUE"""),"Thriller")</f>
        <v>Thriller</v>
      </c>
      <c r="J200" s="58"/>
      <c r="W200" s="51">
        <f>IFERROR(__xludf.DUMMYFUNCTION("""COMPUTED_VALUE"""),43700.0)</f>
        <v>43700</v>
      </c>
      <c r="X200" s="5" t="str">
        <f>IFERROR(__xludf.DUMMYFUNCTION("FILTER(
  Movies!F200:F1000,
  DATEVALUE(Movies!B200:B1000) = W200
)
"),"#N/A")</f>
        <v>#N/A</v>
      </c>
      <c r="Y200" s="5"/>
      <c r="Z200" s="5"/>
      <c r="AA200" s="5"/>
      <c r="AB200" s="5"/>
    </row>
    <row r="201">
      <c r="B201" s="11" t="str">
        <f>Movies!C201</f>
        <v>Action, Adventure, Thriller</v>
      </c>
      <c r="C201" s="11" t="str">
        <f>IFERROR(__xludf.DUMMYFUNCTION("ARRAYFORMULA(TRIM(SPLIT(B201, "","")))
"),"Action")</f>
        <v>Action</v>
      </c>
      <c r="D201" s="11" t="str">
        <f>IFERROR(__xludf.DUMMYFUNCTION("""COMPUTED_VALUE"""),"Adventure")</f>
        <v>Adventure</v>
      </c>
      <c r="E201" s="11" t="str">
        <f>IFERROR(__xludf.DUMMYFUNCTION("""COMPUTED_VALUE"""),"Thriller")</f>
        <v>Thriller</v>
      </c>
      <c r="J201" s="58"/>
      <c r="W201" s="51">
        <f>IFERROR(__xludf.DUMMYFUNCTION("""COMPUTED_VALUE"""),43749.0)</f>
        <v>43749</v>
      </c>
      <c r="X201" s="5" t="str">
        <f>IFERROR(__xludf.DUMMYFUNCTION("FILTER(
  Movies!F201:F1000,
  DATEVALUE(Movies!B201:B1000) = W201
)
"),"#N/A")</f>
        <v>#N/A</v>
      </c>
      <c r="Y201" s="5"/>
      <c r="Z201" s="5"/>
      <c r="AA201" s="5"/>
      <c r="AB201" s="5"/>
    </row>
    <row r="202">
      <c r="B202" s="11" t="str">
        <f>Movies!C202</f>
        <v>Biography, Drama, Musical</v>
      </c>
      <c r="C202" s="11" t="str">
        <f>IFERROR(__xludf.DUMMYFUNCTION("ARRAYFORMULA(TRIM(SPLIT(B202, "","")))
"),"Biography")</f>
        <v>Biography</v>
      </c>
      <c r="D202" s="11" t="str">
        <f>IFERROR(__xludf.DUMMYFUNCTION("""COMPUTED_VALUE"""),"Drama")</f>
        <v>Drama</v>
      </c>
      <c r="E202" s="11" t="str">
        <f>IFERROR(__xludf.DUMMYFUNCTION("""COMPUTED_VALUE"""),"Musical")</f>
        <v>Musical</v>
      </c>
      <c r="J202" s="58"/>
      <c r="W202" s="51">
        <f>IFERROR(__xludf.DUMMYFUNCTION("""COMPUTED_VALUE"""),43784.0)</f>
        <v>43784</v>
      </c>
      <c r="X202" s="5" t="str">
        <f>IFERROR(__xludf.DUMMYFUNCTION("FILTER(
  Movies!F202:F1000,
  DATEVALUE(Movies!B202:B1000) = W202
)
"),"#N/A")</f>
        <v>#N/A</v>
      </c>
      <c r="Y202" s="5"/>
      <c r="Z202" s="5"/>
      <c r="AA202" s="5"/>
      <c r="AB202" s="5"/>
    </row>
    <row r="203">
      <c r="B203" s="11" t="str">
        <f>Movies!C203</f>
        <v>Animation, Action, Adventure</v>
      </c>
      <c r="C203" s="11" t="str">
        <f>IFERROR(__xludf.DUMMYFUNCTION("ARRAYFORMULA(TRIM(SPLIT(B203, "","")))
"),"Animation")</f>
        <v>Animation</v>
      </c>
      <c r="D203" s="11" t="str">
        <f>IFERROR(__xludf.DUMMYFUNCTION("""COMPUTED_VALUE"""),"Action")</f>
        <v>Action</v>
      </c>
      <c r="E203" s="11" t="str">
        <f>IFERROR(__xludf.DUMMYFUNCTION("""COMPUTED_VALUE"""),"Adventure")</f>
        <v>Adventure</v>
      </c>
      <c r="J203" s="58"/>
      <c r="W203" s="51">
        <f>IFERROR(__xludf.DUMMYFUNCTION("""COMPUTED_VALUE"""),43796.0)</f>
        <v>43796</v>
      </c>
      <c r="X203" s="5" t="str">
        <f>IFERROR(__xludf.DUMMYFUNCTION("FILTER(
  Movies!F203:F1000,
  DATEVALUE(Movies!B203:B1000) = W203
)
"),"#N/A")</f>
        <v>#N/A</v>
      </c>
      <c r="Y203" s="5"/>
      <c r="Z203" s="5"/>
      <c r="AA203" s="5"/>
      <c r="AB203" s="5"/>
    </row>
    <row r="204">
      <c r="B204" s="11" t="str">
        <f>Movies!C204</f>
        <v>Drama, Mystery, Sci-Fi</v>
      </c>
      <c r="C204" s="11" t="str">
        <f>IFERROR(__xludf.DUMMYFUNCTION("ARRAYFORMULA(TRIM(SPLIT(B204, "","")))
"),"Drama")</f>
        <v>Drama</v>
      </c>
      <c r="D204" s="11" t="str">
        <f>IFERROR(__xludf.DUMMYFUNCTION("""COMPUTED_VALUE"""),"Mystery")</f>
        <v>Mystery</v>
      </c>
      <c r="E204" s="11" t="str">
        <f>IFERROR(__xludf.DUMMYFUNCTION("""COMPUTED_VALUE"""),"Sci-Fi")</f>
        <v>Sci-Fi</v>
      </c>
      <c r="J204" s="58"/>
      <c r="W204" s="51">
        <f>IFERROR(__xludf.DUMMYFUNCTION("""COMPUTED_VALUE"""),43804.0)</f>
        <v>43804</v>
      </c>
      <c r="X204" s="40">
        <f>IFERROR(__xludf.DUMMYFUNCTION("FILTER(
  Movies!F204:F1000,
  DATEVALUE(Movies!B204:B1000) = W204
)
"),5.533333333333334)</f>
        <v>5.533333333</v>
      </c>
      <c r="Y204" s="5"/>
      <c r="Z204" s="5"/>
      <c r="AA204" s="5"/>
      <c r="AB204" s="5"/>
    </row>
    <row r="205">
      <c r="B205" s="11" t="str">
        <f>Movies!C205</f>
        <v>Action, Adventure, Comedy</v>
      </c>
      <c r="C205" s="11" t="str">
        <f>IFERROR(__xludf.DUMMYFUNCTION("ARRAYFORMULA(TRIM(SPLIT(B205, "","")))
"),"Action")</f>
        <v>Action</v>
      </c>
      <c r="D205" s="11" t="str">
        <f>IFERROR(__xludf.DUMMYFUNCTION("""COMPUTED_VALUE"""),"Adventure")</f>
        <v>Adventure</v>
      </c>
      <c r="E205" s="11" t="str">
        <f>IFERROR(__xludf.DUMMYFUNCTION("""COMPUTED_VALUE"""),"Comedy")</f>
        <v>Comedy</v>
      </c>
      <c r="J205" s="58"/>
      <c r="W205" s="51">
        <f>IFERROR(__xludf.DUMMYFUNCTION("""COMPUTED_VALUE"""),43840.0)</f>
        <v>43840</v>
      </c>
      <c r="X205" s="5" t="str">
        <f>IFERROR(__xludf.DUMMYFUNCTION("FILTER(
  Movies!F205:F1000,
  DATEVALUE(Movies!B205:B1000) = W205
)
"),"#N/A")</f>
        <v>#N/A</v>
      </c>
      <c r="Y205" s="5"/>
      <c r="Z205" s="5"/>
      <c r="AA205" s="5"/>
      <c r="AB205" s="5"/>
    </row>
    <row r="206">
      <c r="B206" s="11" t="str">
        <f>Movies!C206</f>
        <v>Action, Adventure, Fantasy</v>
      </c>
      <c r="C206" s="11" t="str">
        <f>IFERROR(__xludf.DUMMYFUNCTION("ARRAYFORMULA(TRIM(SPLIT(B206, "","")))
"),"Action")</f>
        <v>Action</v>
      </c>
      <c r="D206" s="11" t="str">
        <f>IFERROR(__xludf.DUMMYFUNCTION("""COMPUTED_VALUE"""),"Adventure")</f>
        <v>Adventure</v>
      </c>
      <c r="E206" s="11" t="str">
        <f>IFERROR(__xludf.DUMMYFUNCTION("""COMPUTED_VALUE"""),"Fantasy")</f>
        <v>Fantasy</v>
      </c>
      <c r="J206" s="58"/>
      <c r="W206" s="51">
        <f>IFERROR(__xludf.DUMMYFUNCTION("""COMPUTED_VALUE"""),44022.0)</f>
        <v>44022</v>
      </c>
      <c r="X206" s="5" t="str">
        <f>IFERROR(__xludf.DUMMYFUNCTION("FILTER(
  Movies!F206:F1000,
  DATEVALUE(Movies!B206:B1000) = W206
)
"),"#N/A")</f>
        <v>#N/A</v>
      </c>
      <c r="Y206" s="5"/>
      <c r="Z206" s="5"/>
      <c r="AA206" s="5"/>
      <c r="AB206" s="5"/>
    </row>
    <row r="207">
      <c r="B207" s="11" t="str">
        <f>Movies!C207</f>
        <v>Animation, Action, Adventure</v>
      </c>
      <c r="C207" s="11" t="str">
        <f>IFERROR(__xludf.DUMMYFUNCTION("ARRAYFORMULA(TRIM(SPLIT(B207, "","")))
"),"Animation")</f>
        <v>Animation</v>
      </c>
      <c r="D207" s="11" t="str">
        <f>IFERROR(__xludf.DUMMYFUNCTION("""COMPUTED_VALUE"""),"Action")</f>
        <v>Action</v>
      </c>
      <c r="E207" s="11" t="str">
        <f>IFERROR(__xludf.DUMMYFUNCTION("""COMPUTED_VALUE"""),"Adventure")</f>
        <v>Adventure</v>
      </c>
      <c r="J207" s="58"/>
      <c r="W207" s="51">
        <f>IFERROR(__xludf.DUMMYFUNCTION("""COMPUTED_VALUE"""),44077.0)</f>
        <v>44077</v>
      </c>
      <c r="X207" s="5"/>
      <c r="Y207" s="5"/>
      <c r="Z207" s="5"/>
      <c r="AA207" s="5"/>
      <c r="AB207" s="5"/>
    </row>
    <row r="208">
      <c r="B208" s="11" t="str">
        <f>Movies!C208</f>
        <v>Crime, Thriller</v>
      </c>
      <c r="C208" s="11" t="str">
        <f>IFERROR(__xludf.DUMMYFUNCTION("ARRAYFORMULA(TRIM(SPLIT(B208, "","")))
"),"Crime")</f>
        <v>Crime</v>
      </c>
      <c r="D208" s="11" t="str">
        <f>IFERROR(__xludf.DUMMYFUNCTION("""COMPUTED_VALUE"""),"Thriller")</f>
        <v>Thriller</v>
      </c>
      <c r="J208" s="58"/>
      <c r="W208" s="51">
        <f>IFERROR(__xludf.DUMMYFUNCTION("""COMPUTED_VALUE"""),44260.0)</f>
        <v>44260</v>
      </c>
      <c r="X208" s="5"/>
      <c r="Y208" s="5"/>
      <c r="Z208" s="5"/>
      <c r="AA208" s="5"/>
      <c r="AB208" s="5"/>
    </row>
    <row r="209">
      <c r="B209" s="11" t="str">
        <f>Movies!C209</f>
        <v>Action, Adventure, Sci-Fi</v>
      </c>
      <c r="C209" s="11" t="str">
        <f>IFERROR(__xludf.DUMMYFUNCTION("ARRAYFORMULA(TRIM(SPLIT(B209, "","")))
"),"Action")</f>
        <v>Action</v>
      </c>
      <c r="D209" s="11" t="str">
        <f>IFERROR(__xludf.DUMMYFUNCTION("""COMPUTED_VALUE"""),"Adventure")</f>
        <v>Adventure</v>
      </c>
      <c r="E209" s="11" t="str">
        <f>IFERROR(__xludf.DUMMYFUNCTION("""COMPUTED_VALUE"""),"Sci-Fi")</f>
        <v>Sci-Fi</v>
      </c>
      <c r="J209" s="58"/>
      <c r="W209" s="51">
        <f>IFERROR(__xludf.DUMMYFUNCTION("""COMPUTED_VALUE"""),44309.0)</f>
        <v>44309</v>
      </c>
      <c r="X209" s="5"/>
      <c r="Y209" s="5"/>
      <c r="Z209" s="5"/>
      <c r="AA209" s="5"/>
      <c r="AB209" s="5"/>
    </row>
    <row r="210">
      <c r="B210" s="11" t="str">
        <f>Movies!C210</f>
        <v>Comedy, Drama, Romance</v>
      </c>
      <c r="C210" s="11" t="str">
        <f>IFERROR(__xludf.DUMMYFUNCTION("ARRAYFORMULA(TRIM(SPLIT(B210, "","")))
"),"Comedy")</f>
        <v>Comedy</v>
      </c>
      <c r="D210" s="11" t="str">
        <f>IFERROR(__xludf.DUMMYFUNCTION("""COMPUTED_VALUE"""),"Drama")</f>
        <v>Drama</v>
      </c>
      <c r="E210" s="11" t="str">
        <f>IFERROR(__xludf.DUMMYFUNCTION("""COMPUTED_VALUE"""),"Romance")</f>
        <v>Romance</v>
      </c>
      <c r="J210" s="58"/>
      <c r="W210" s="51">
        <f>IFERROR(__xludf.DUMMYFUNCTION("""COMPUTED_VALUE"""),44363.0)</f>
        <v>44363</v>
      </c>
      <c r="X210" s="5"/>
      <c r="Y210" s="5"/>
      <c r="Z210" s="5"/>
      <c r="AA210" s="5"/>
      <c r="AB210" s="5"/>
    </row>
    <row r="211">
      <c r="B211" s="11" t="str">
        <f>Movies!C211</f>
        <v>Action, Adventure, Fantasy</v>
      </c>
      <c r="C211" s="11" t="str">
        <f>IFERROR(__xludf.DUMMYFUNCTION("ARRAYFORMULA(TRIM(SPLIT(B211, "","")))
"),"Action")</f>
        <v>Action</v>
      </c>
      <c r="D211" s="11" t="str">
        <f>IFERROR(__xludf.DUMMYFUNCTION("""COMPUTED_VALUE"""),"Adventure")</f>
        <v>Adventure</v>
      </c>
      <c r="E211" s="11" t="str">
        <f>IFERROR(__xludf.DUMMYFUNCTION("""COMPUTED_VALUE"""),"Fantasy")</f>
        <v>Fantasy</v>
      </c>
      <c r="J211" s="58"/>
      <c r="W211" s="51">
        <f>IFERROR(__xludf.DUMMYFUNCTION("""COMPUTED_VALUE"""),44379.0)</f>
        <v>44379</v>
      </c>
      <c r="X211" s="5"/>
      <c r="Y211" s="5"/>
      <c r="Z211" s="5"/>
      <c r="AA211" s="5"/>
      <c r="AB211" s="5"/>
    </row>
    <row r="212">
      <c r="B212" s="11" t="str">
        <f>Movies!C212</f>
        <v>Comedy, Fantasy</v>
      </c>
      <c r="C212" s="11" t="str">
        <f>IFERROR(__xludf.DUMMYFUNCTION("ARRAYFORMULA(TRIM(SPLIT(B212, "","")))
"),"Comedy")</f>
        <v>Comedy</v>
      </c>
      <c r="D212" s="11" t="str">
        <f>IFERROR(__xludf.DUMMYFUNCTION("""COMPUTED_VALUE"""),"Fantasy")</f>
        <v>Fantasy</v>
      </c>
      <c r="J212" s="58"/>
      <c r="W212" s="51">
        <f>IFERROR(__xludf.DUMMYFUNCTION("""COMPUTED_VALUE"""),44386.0)</f>
        <v>44386</v>
      </c>
      <c r="X212" s="5"/>
      <c r="Y212" s="5"/>
      <c r="Z212" s="5"/>
      <c r="AA212" s="5"/>
      <c r="AB212" s="5"/>
    </row>
    <row r="213">
      <c r="B213" s="11" t="str">
        <f>Movies!C213</f>
        <v>Biography, Comedy, Drama</v>
      </c>
      <c r="C213" s="11" t="str">
        <f>IFERROR(__xludf.DUMMYFUNCTION("ARRAYFORMULA(TRIM(SPLIT(B213, "","")))
"),"Biography")</f>
        <v>Biography</v>
      </c>
      <c r="D213" s="11" t="str">
        <f>IFERROR(__xludf.DUMMYFUNCTION("""COMPUTED_VALUE"""),"Comedy")</f>
        <v>Comedy</v>
      </c>
      <c r="E213" s="11" t="str">
        <f>IFERROR(__xludf.DUMMYFUNCTION("""COMPUTED_VALUE"""),"Drama")</f>
        <v>Drama</v>
      </c>
      <c r="J213" s="58"/>
      <c r="W213" s="51">
        <f>IFERROR(__xludf.DUMMYFUNCTION("""COMPUTED_VALUE"""),44421.0)</f>
        <v>44421</v>
      </c>
      <c r="X213" s="5"/>
      <c r="Y213" s="5"/>
      <c r="Z213" s="5"/>
      <c r="AA213" s="5"/>
      <c r="AB213" s="5"/>
    </row>
    <row r="214">
      <c r="B214" s="11" t="str">
        <f>Movies!C214</f>
        <v>Action, Adventure, Sci-Fi</v>
      </c>
      <c r="C214" s="11" t="str">
        <f>IFERROR(__xludf.DUMMYFUNCTION("ARRAYFORMULA(TRIM(SPLIT(B214, "","")))
"),"Action")</f>
        <v>Action</v>
      </c>
      <c r="D214" s="11" t="str">
        <f>IFERROR(__xludf.DUMMYFUNCTION("""COMPUTED_VALUE"""),"Adventure")</f>
        <v>Adventure</v>
      </c>
      <c r="E214" s="11" t="str">
        <f>IFERROR(__xludf.DUMMYFUNCTION("""COMPUTED_VALUE"""),"Sci-Fi")</f>
        <v>Sci-Fi</v>
      </c>
      <c r="J214" s="58"/>
      <c r="W214" s="51">
        <f>IFERROR(__xludf.DUMMYFUNCTION("""COMPUTED_VALUE"""),44442.0)</f>
        <v>44442</v>
      </c>
      <c r="X214" s="5"/>
      <c r="Y214" s="5"/>
      <c r="Z214" s="5"/>
      <c r="AA214" s="5"/>
      <c r="AB214" s="5"/>
    </row>
    <row r="215">
      <c r="B215" s="11" t="str">
        <f>Movies!C215</f>
        <v>Animation, Adventure, Comedy</v>
      </c>
      <c r="C215" s="11" t="str">
        <f>IFERROR(__xludf.DUMMYFUNCTION("ARRAYFORMULA(TRIM(SPLIT(B215, "","")))
"),"Animation")</f>
        <v>Animation</v>
      </c>
      <c r="D215" s="11" t="str">
        <f>IFERROR(__xludf.DUMMYFUNCTION("""COMPUTED_VALUE"""),"Adventure")</f>
        <v>Adventure</v>
      </c>
      <c r="E215" s="11" t="str">
        <f>IFERROR(__xludf.DUMMYFUNCTION("""COMPUTED_VALUE"""),"Comedy")</f>
        <v>Comedy</v>
      </c>
      <c r="J215" s="58"/>
      <c r="W215" s="51">
        <f>IFERROR(__xludf.DUMMYFUNCTION("""COMPUTED_VALUE"""),44477.0)</f>
        <v>44477</v>
      </c>
      <c r="X215" s="5"/>
      <c r="Y215" s="5"/>
      <c r="Z215" s="5"/>
      <c r="AA215" s="5"/>
      <c r="AB215" s="5"/>
    </row>
    <row r="216">
      <c r="B216" s="11" t="str">
        <f>Movies!C216</f>
        <v>Action, Adventure, Sci-Fi</v>
      </c>
      <c r="C216" s="11" t="str">
        <f>IFERROR(__xludf.DUMMYFUNCTION("ARRAYFORMULA(TRIM(SPLIT(B216, "","")))
"),"Action")</f>
        <v>Action</v>
      </c>
      <c r="D216" s="11" t="str">
        <f>IFERROR(__xludf.DUMMYFUNCTION("""COMPUTED_VALUE"""),"Adventure")</f>
        <v>Adventure</v>
      </c>
      <c r="E216" s="11" t="str">
        <f>IFERROR(__xludf.DUMMYFUNCTION("""COMPUTED_VALUE"""),"Sci-Fi")</f>
        <v>Sci-Fi</v>
      </c>
      <c r="J216" s="58"/>
      <c r="W216" s="51">
        <f>IFERROR(__xludf.DUMMYFUNCTION("""COMPUTED_VALUE"""),44498.0)</f>
        <v>44498</v>
      </c>
      <c r="X216" s="5"/>
      <c r="Y216" s="5"/>
      <c r="Z216" s="5"/>
      <c r="AA216" s="5"/>
      <c r="AB216" s="5"/>
    </row>
    <row r="217">
      <c r="B217" s="11" t="str">
        <f>Movies!C217</f>
        <v>Crime, Drama, Thriller</v>
      </c>
      <c r="C217" s="11" t="str">
        <f>IFERROR(__xludf.DUMMYFUNCTION("ARRAYFORMULA(TRIM(SPLIT(B217, "","")))
"),"Crime")</f>
        <v>Crime</v>
      </c>
      <c r="D217" s="11" t="str">
        <f>IFERROR(__xludf.DUMMYFUNCTION("""COMPUTED_VALUE"""),"Drama")</f>
        <v>Drama</v>
      </c>
      <c r="E217" s="11" t="str">
        <f>IFERROR(__xludf.DUMMYFUNCTION("""COMPUTED_VALUE"""),"Thriller")</f>
        <v>Thriller</v>
      </c>
      <c r="J217" s="58"/>
      <c r="W217" s="51">
        <f>IFERROR(__xludf.DUMMYFUNCTION("""COMPUTED_VALUE"""),44505.0)</f>
        <v>44505</v>
      </c>
      <c r="X217" s="5"/>
      <c r="Y217" s="5"/>
      <c r="Z217" s="5"/>
      <c r="AA217" s="5"/>
      <c r="AB217" s="5"/>
    </row>
    <row r="218">
      <c r="B218" s="11" t="str">
        <f>Movies!C218</f>
        <v>Horror, Sci-Fi</v>
      </c>
      <c r="C218" s="11" t="str">
        <f>IFERROR(__xludf.DUMMYFUNCTION("ARRAYFORMULA(TRIM(SPLIT(B218, "","")))
"),"Horror")</f>
        <v>Horror</v>
      </c>
      <c r="D218" s="11" t="str">
        <f>IFERROR(__xludf.DUMMYFUNCTION("""COMPUTED_VALUE"""),"Sci-Fi")</f>
        <v>Sci-Fi</v>
      </c>
      <c r="J218" s="58"/>
      <c r="W218" s="51">
        <f>IFERROR(__xludf.DUMMYFUNCTION("""COMPUTED_VALUE"""),44547.0)</f>
        <v>44547</v>
      </c>
      <c r="X218" s="5"/>
      <c r="Y218" s="5"/>
      <c r="Z218" s="5"/>
      <c r="AA218" s="5"/>
      <c r="AB218" s="5"/>
    </row>
    <row r="219">
      <c r="B219" s="11" t="str">
        <f>Movies!C219</f>
        <v>Action, Adventure, Sci-Fi</v>
      </c>
      <c r="C219" s="11" t="str">
        <f>IFERROR(__xludf.DUMMYFUNCTION("ARRAYFORMULA(TRIM(SPLIT(B219, "","")))
"),"Action")</f>
        <v>Action</v>
      </c>
      <c r="D219" s="11" t="str">
        <f>IFERROR(__xludf.DUMMYFUNCTION("""COMPUTED_VALUE"""),"Adventure")</f>
        <v>Adventure</v>
      </c>
      <c r="E219" s="11" t="str">
        <f>IFERROR(__xludf.DUMMYFUNCTION("""COMPUTED_VALUE"""),"Sci-Fi")</f>
        <v>Sci-Fi</v>
      </c>
      <c r="J219" s="58"/>
      <c r="W219" s="51">
        <f>IFERROR(__xludf.DUMMYFUNCTION("""COMPUTED_VALUE"""),44596.0)</f>
        <v>44596</v>
      </c>
      <c r="X219" s="5"/>
      <c r="Y219" s="5"/>
      <c r="Z219" s="5"/>
      <c r="AA219" s="5"/>
      <c r="AB219" s="5"/>
    </row>
    <row r="220">
      <c r="B220" s="11" t="str">
        <f>Movies!C220</f>
        <v>Action, Adventure, Sci-Fi</v>
      </c>
      <c r="C220" s="11" t="str">
        <f>IFERROR(__xludf.DUMMYFUNCTION("ARRAYFORMULA(TRIM(SPLIT(B220, "","")))
"),"Action")</f>
        <v>Action</v>
      </c>
      <c r="D220" s="11" t="str">
        <f>IFERROR(__xludf.DUMMYFUNCTION("""COMPUTED_VALUE"""),"Adventure")</f>
        <v>Adventure</v>
      </c>
      <c r="E220" s="11" t="str">
        <f>IFERROR(__xludf.DUMMYFUNCTION("""COMPUTED_VALUE"""),"Sci-Fi")</f>
        <v>Sci-Fi</v>
      </c>
      <c r="J220" s="58"/>
      <c r="W220" s="51">
        <f>IFERROR(__xludf.DUMMYFUNCTION("""COMPUTED_VALUE"""),44631.0)</f>
        <v>44631</v>
      </c>
      <c r="X220" s="5"/>
      <c r="Y220" s="5"/>
      <c r="Z220" s="5"/>
      <c r="AA220" s="5"/>
      <c r="AB220" s="5"/>
    </row>
    <row r="221">
      <c r="B221" s="11" t="str">
        <f>Movies!C221</f>
        <v>Action, Crime, Thriller</v>
      </c>
      <c r="C221" s="11" t="str">
        <f>IFERROR(__xludf.DUMMYFUNCTION("ARRAYFORMULA(TRIM(SPLIT(B221, "","")))
"),"Action")</f>
        <v>Action</v>
      </c>
      <c r="D221" s="11" t="str">
        <f>IFERROR(__xludf.DUMMYFUNCTION("""COMPUTED_VALUE"""),"Crime")</f>
        <v>Crime</v>
      </c>
      <c r="E221" s="11" t="str">
        <f>IFERROR(__xludf.DUMMYFUNCTION("""COMPUTED_VALUE"""),"Thriller")</f>
        <v>Thriller</v>
      </c>
      <c r="J221" s="58"/>
      <c r="W221" s="51">
        <f>IFERROR(__xludf.DUMMYFUNCTION("""COMPUTED_VALUE"""),44652.0)</f>
        <v>44652</v>
      </c>
      <c r="X221" s="5"/>
      <c r="Y221" s="5"/>
      <c r="Z221" s="5"/>
      <c r="AA221" s="5"/>
      <c r="AB221" s="5"/>
    </row>
    <row r="222">
      <c r="B222" s="11" t="str">
        <f>Movies!C222</f>
        <v>Documentary, Sport</v>
      </c>
      <c r="C222" s="11" t="str">
        <f>IFERROR(__xludf.DUMMYFUNCTION("ARRAYFORMULA(TRIM(SPLIT(B222, "","")))
"),"Documentary")</f>
        <v>Documentary</v>
      </c>
      <c r="D222" s="11" t="str">
        <f>IFERROR(__xludf.DUMMYFUNCTION("""COMPUTED_VALUE"""),"Sport")</f>
        <v>Sport</v>
      </c>
      <c r="J222" s="58"/>
      <c r="W222" s="51">
        <f>IFERROR(__xludf.DUMMYFUNCTION("""COMPUTED_VALUE"""),44659.0)</f>
        <v>44659</v>
      </c>
      <c r="X222" s="5"/>
      <c r="Y222" s="5"/>
      <c r="Z222" s="5"/>
      <c r="AA222" s="5"/>
      <c r="AB222" s="5"/>
    </row>
    <row r="223">
      <c r="B223" s="11" t="str">
        <f>Movies!C223</f>
        <v>Horror, Thriller</v>
      </c>
      <c r="C223" s="11" t="str">
        <f>IFERROR(__xludf.DUMMYFUNCTION("ARRAYFORMULA(TRIM(SPLIT(B223, "","")))
"),"Horror")</f>
        <v>Horror</v>
      </c>
      <c r="D223" s="11" t="str">
        <f>IFERROR(__xludf.DUMMYFUNCTION("""COMPUTED_VALUE"""),"Thriller")</f>
        <v>Thriller</v>
      </c>
      <c r="J223" s="58"/>
      <c r="W223" s="51">
        <f>IFERROR(__xludf.DUMMYFUNCTION("""COMPUTED_VALUE"""),44687.0)</f>
        <v>44687</v>
      </c>
      <c r="X223" s="5"/>
      <c r="Y223" s="5"/>
      <c r="Z223" s="5"/>
      <c r="AA223" s="5"/>
      <c r="AB223" s="5"/>
    </row>
    <row r="224">
      <c r="B224" s="11" t="str">
        <f>Movies!C224</f>
        <v>Animation, Adventure, Comedy</v>
      </c>
      <c r="C224" s="11" t="str">
        <f>IFERROR(__xludf.DUMMYFUNCTION("ARRAYFORMULA(TRIM(SPLIT(B224, "","")))
"),"Animation")</f>
        <v>Animation</v>
      </c>
      <c r="D224" s="11" t="str">
        <f>IFERROR(__xludf.DUMMYFUNCTION("""COMPUTED_VALUE"""),"Adventure")</f>
        <v>Adventure</v>
      </c>
      <c r="E224" s="11" t="str">
        <f>IFERROR(__xludf.DUMMYFUNCTION("""COMPUTED_VALUE"""),"Comedy")</f>
        <v>Comedy</v>
      </c>
      <c r="J224" s="58"/>
      <c r="W224" s="51">
        <f>IFERROR(__xludf.DUMMYFUNCTION("""COMPUTED_VALUE"""),44729.0)</f>
        <v>44729</v>
      </c>
      <c r="X224" s="5"/>
      <c r="Y224" s="5"/>
      <c r="Z224" s="5"/>
      <c r="AA224" s="5"/>
      <c r="AB224" s="5"/>
    </row>
    <row r="225">
      <c r="B225" s="11" t="str">
        <f>Movies!C225</f>
        <v>Comedy, Drama, Romance</v>
      </c>
      <c r="C225" s="11" t="str">
        <f>IFERROR(__xludf.DUMMYFUNCTION("ARRAYFORMULA(TRIM(SPLIT(B225, "","")))
"),"Comedy")</f>
        <v>Comedy</v>
      </c>
      <c r="D225" s="11" t="str">
        <f>IFERROR(__xludf.DUMMYFUNCTION("""COMPUTED_VALUE"""),"Drama")</f>
        <v>Drama</v>
      </c>
      <c r="E225" s="11" t="str">
        <f>IFERROR(__xludf.DUMMYFUNCTION("""COMPUTED_VALUE"""),"Romance")</f>
        <v>Romance</v>
      </c>
      <c r="J225" s="58"/>
      <c r="W225" s="51">
        <f>IFERROR(__xludf.DUMMYFUNCTION("""COMPUTED_VALUE"""),44750.0)</f>
        <v>44750</v>
      </c>
      <c r="X225" s="5"/>
      <c r="Y225" s="5"/>
      <c r="Z225" s="5"/>
      <c r="AA225" s="5"/>
      <c r="AB225" s="5"/>
    </row>
    <row r="226">
      <c r="B226" s="11" t="str">
        <f>Movies!C226</f>
        <v>Action, Crime, Drama</v>
      </c>
      <c r="C226" s="11" t="str">
        <f>IFERROR(__xludf.DUMMYFUNCTION("ARRAYFORMULA(TRIM(SPLIT(B226, "","")))
"),"Action")</f>
        <v>Action</v>
      </c>
      <c r="D226" s="11" t="str">
        <f>IFERROR(__xludf.DUMMYFUNCTION("""COMPUTED_VALUE"""),"Crime")</f>
        <v>Crime</v>
      </c>
      <c r="E226" s="11" t="str">
        <f>IFERROR(__xludf.DUMMYFUNCTION("""COMPUTED_VALUE"""),"Drama")</f>
        <v>Drama</v>
      </c>
      <c r="J226" s="58"/>
      <c r="W226" s="51">
        <f>IFERROR(__xludf.DUMMYFUNCTION("""COMPUTED_VALUE"""),44834.0)</f>
        <v>44834</v>
      </c>
      <c r="X226" s="5"/>
      <c r="Y226" s="5"/>
      <c r="Z226" s="5"/>
      <c r="AA226" s="5"/>
      <c r="AB226" s="5"/>
    </row>
    <row r="227">
      <c r="B227" s="11" t="str">
        <f>Movies!C227</f>
        <v>Action, Adventure, Sci-Fi</v>
      </c>
      <c r="C227" s="11" t="str">
        <f>IFERROR(__xludf.DUMMYFUNCTION("ARRAYFORMULA(TRIM(SPLIT(B227, "","")))
"),"Action")</f>
        <v>Action</v>
      </c>
      <c r="D227" s="11" t="str">
        <f>IFERROR(__xludf.DUMMYFUNCTION("""COMPUTED_VALUE"""),"Adventure")</f>
        <v>Adventure</v>
      </c>
      <c r="E227" s="11" t="str">
        <f>IFERROR(__xludf.DUMMYFUNCTION("""COMPUTED_VALUE"""),"Sci-Fi")</f>
        <v>Sci-Fi</v>
      </c>
      <c r="J227" s="58"/>
      <c r="W227" s="51">
        <f>IFERROR(__xludf.DUMMYFUNCTION("""COMPUTED_VALUE"""),44876.0)</f>
        <v>44876</v>
      </c>
      <c r="X227" s="5"/>
      <c r="Y227" s="5"/>
      <c r="Z227" s="5"/>
      <c r="AA227" s="5"/>
      <c r="AB227" s="5"/>
    </row>
    <row r="228">
      <c r="B228" s="11" t="str">
        <f>Movies!C228</f>
        <v>Animation, Action, Adventure</v>
      </c>
      <c r="C228" s="11" t="str">
        <f>IFERROR(__xludf.DUMMYFUNCTION("ARRAYFORMULA(TRIM(SPLIT(B228, "","")))
"),"Animation")</f>
        <v>Animation</v>
      </c>
      <c r="D228" s="11" t="str">
        <f>IFERROR(__xludf.DUMMYFUNCTION("""COMPUTED_VALUE"""),"Action")</f>
        <v>Action</v>
      </c>
      <c r="E228" s="11" t="str">
        <f>IFERROR(__xludf.DUMMYFUNCTION("""COMPUTED_VALUE"""),"Adventure")</f>
        <v>Adventure</v>
      </c>
      <c r="J228" s="58"/>
      <c r="W228" s="51">
        <f>IFERROR(__xludf.DUMMYFUNCTION("""COMPUTED_VALUE"""),44883.0)</f>
        <v>44883</v>
      </c>
      <c r="X228" s="5"/>
      <c r="Y228" s="5"/>
      <c r="Z228" s="5"/>
      <c r="AA228" s="5"/>
      <c r="AB228" s="5"/>
    </row>
    <row r="229">
      <c r="B229" s="11" t="str">
        <f>Movies!C229</f>
        <v>Action, Adventure, Fantasy</v>
      </c>
      <c r="C229" s="11" t="str">
        <f>IFERROR(__xludf.DUMMYFUNCTION("ARRAYFORMULA(TRIM(SPLIT(B229, "","")))
"),"Action")</f>
        <v>Action</v>
      </c>
      <c r="D229" s="11" t="str">
        <f>IFERROR(__xludf.DUMMYFUNCTION("""COMPUTED_VALUE"""),"Adventure")</f>
        <v>Adventure</v>
      </c>
      <c r="E229" s="11" t="str">
        <f>IFERROR(__xludf.DUMMYFUNCTION("""COMPUTED_VALUE"""),"Fantasy")</f>
        <v>Fantasy</v>
      </c>
      <c r="J229" s="58"/>
      <c r="W229" s="51">
        <f>IFERROR(__xludf.DUMMYFUNCTION("""COMPUTED_VALUE"""),44889.0)</f>
        <v>44889</v>
      </c>
      <c r="X229" s="5"/>
      <c r="Y229" s="5"/>
      <c r="Z229" s="5"/>
      <c r="AA229" s="5"/>
      <c r="AB229" s="5"/>
    </row>
    <row r="230">
      <c r="B230" s="11" t="str">
        <f>Movies!C230</f>
        <v>Horror, Thriller</v>
      </c>
      <c r="C230" s="11" t="str">
        <f>IFERROR(__xludf.DUMMYFUNCTION("ARRAYFORMULA(TRIM(SPLIT(B230, "","")))
"),"Horror")</f>
        <v>Horror</v>
      </c>
      <c r="D230" s="11" t="str">
        <f>IFERROR(__xludf.DUMMYFUNCTION("""COMPUTED_VALUE"""),"Thriller")</f>
        <v>Thriller</v>
      </c>
      <c r="J230" s="58"/>
      <c r="W230" s="51">
        <f>IFERROR(__xludf.DUMMYFUNCTION("""COMPUTED_VALUE"""),44911.0)</f>
        <v>44911</v>
      </c>
      <c r="X230" s="5"/>
      <c r="Y230" s="5"/>
      <c r="Z230" s="5"/>
      <c r="AA230" s="5"/>
      <c r="AB230" s="5"/>
    </row>
    <row r="231">
      <c r="B231" s="11" t="str">
        <f>Movies!C231</f>
        <v>Adventure, Comedy, Fantasy</v>
      </c>
      <c r="C231" s="11" t="str">
        <f>IFERROR(__xludf.DUMMYFUNCTION("ARRAYFORMULA(TRIM(SPLIT(B231, "","")))
"),"Adventure")</f>
        <v>Adventure</v>
      </c>
      <c r="D231" s="11" t="str">
        <f>IFERROR(__xludf.DUMMYFUNCTION("""COMPUTED_VALUE"""),"Comedy")</f>
        <v>Comedy</v>
      </c>
      <c r="E231" s="11" t="str">
        <f>IFERROR(__xludf.DUMMYFUNCTION("""COMPUTED_VALUE"""),"Fantasy")</f>
        <v>Fantasy</v>
      </c>
      <c r="J231" s="58"/>
      <c r="W231" s="51">
        <f>IFERROR(__xludf.DUMMYFUNCTION("""COMPUTED_VALUE"""),45021.0)</f>
        <v>45021</v>
      </c>
      <c r="X231" s="5"/>
      <c r="Y231" s="5"/>
      <c r="Z231" s="5"/>
      <c r="AA231" s="5"/>
      <c r="AB231" s="5"/>
    </row>
    <row r="232">
      <c r="B232" s="11" t="str">
        <f>Movies!C232</f>
        <v>Horror, Thriller</v>
      </c>
      <c r="C232" s="11" t="str">
        <f>IFERROR(__xludf.DUMMYFUNCTION("ARRAYFORMULA(TRIM(SPLIT(B232, "","")))
"),"Horror")</f>
        <v>Horror</v>
      </c>
      <c r="D232" s="11" t="str">
        <f>IFERROR(__xludf.DUMMYFUNCTION("""COMPUTED_VALUE"""),"Thriller")</f>
        <v>Thriller</v>
      </c>
      <c r="J232" s="58"/>
      <c r="W232" s="51">
        <f>IFERROR(__xludf.DUMMYFUNCTION("""COMPUTED_VALUE"""),45086.0)</f>
        <v>45086</v>
      </c>
      <c r="X232" s="5"/>
      <c r="Y232" s="5"/>
      <c r="Z232" s="5"/>
      <c r="AA232" s="5"/>
      <c r="AB232" s="5"/>
    </row>
    <row r="233">
      <c r="B233" s="11" t="str">
        <f>Movies!C233</f>
        <v>Action, Adventure, Sci-Fi</v>
      </c>
      <c r="C233" s="11" t="str">
        <f>IFERROR(__xludf.DUMMYFUNCTION("ARRAYFORMULA(TRIM(SPLIT(B233, "","")))
"),"Action")</f>
        <v>Action</v>
      </c>
      <c r="D233" s="11" t="str">
        <f>IFERROR(__xludf.DUMMYFUNCTION("""COMPUTED_VALUE"""),"Adventure")</f>
        <v>Adventure</v>
      </c>
      <c r="E233" s="11" t="str">
        <f>IFERROR(__xludf.DUMMYFUNCTION("""COMPUTED_VALUE"""),"Sci-Fi")</f>
        <v>Sci-Fi</v>
      </c>
      <c r="J233" s="58"/>
      <c r="W233" s="51">
        <f>IFERROR(__xludf.DUMMYFUNCTION("""COMPUTED_VALUE"""),45128.0)</f>
        <v>45128</v>
      </c>
      <c r="X233" s="5"/>
      <c r="Y233" s="5"/>
      <c r="Z233" s="5"/>
      <c r="AA233" s="5"/>
      <c r="AB233" s="5"/>
    </row>
    <row r="234">
      <c r="B234" s="11" t="str">
        <f>Movies!C234</f>
        <v>Animation, Action, Adventure</v>
      </c>
      <c r="C234" s="11" t="str">
        <f>IFERROR(__xludf.DUMMYFUNCTION("ARRAYFORMULA(TRIM(SPLIT(B234, "","")))
"),"Animation")</f>
        <v>Animation</v>
      </c>
      <c r="D234" s="11" t="str">
        <f>IFERROR(__xludf.DUMMYFUNCTION("""COMPUTED_VALUE"""),"Action")</f>
        <v>Action</v>
      </c>
      <c r="E234" s="11" t="str">
        <f>IFERROR(__xludf.DUMMYFUNCTION("""COMPUTED_VALUE"""),"Adventure")</f>
        <v>Adventure</v>
      </c>
      <c r="J234" s="58"/>
      <c r="W234" s="51">
        <f>IFERROR(__xludf.DUMMYFUNCTION("""COMPUTED_VALUE"""),45170.0)</f>
        <v>45170</v>
      </c>
      <c r="X234" s="5"/>
      <c r="Y234" s="5"/>
      <c r="Z234" s="5"/>
      <c r="AA234" s="5"/>
      <c r="AB234" s="5"/>
    </row>
    <row r="235">
      <c r="B235" s="11" t="str">
        <f>Movies!C235</f>
        <v>Action, Adventure, Sci-Fi</v>
      </c>
      <c r="C235" s="11" t="str">
        <f>IFERROR(__xludf.DUMMYFUNCTION("ARRAYFORMULA(TRIM(SPLIT(B235, "","")))
"),"Action")</f>
        <v>Action</v>
      </c>
      <c r="D235" s="11" t="str">
        <f>IFERROR(__xludf.DUMMYFUNCTION("""COMPUTED_VALUE"""),"Adventure")</f>
        <v>Adventure</v>
      </c>
      <c r="E235" s="11" t="str">
        <f>IFERROR(__xludf.DUMMYFUNCTION("""COMPUTED_VALUE"""),"Sci-Fi")</f>
        <v>Sci-Fi</v>
      </c>
      <c r="J235" s="58"/>
      <c r="W235" s="51">
        <f>IFERROR(__xludf.DUMMYFUNCTION("""COMPUTED_VALUE"""),45198.0)</f>
        <v>45198</v>
      </c>
      <c r="X235" s="5"/>
      <c r="Y235" s="5"/>
      <c r="Z235" s="5"/>
      <c r="AA235" s="5"/>
      <c r="AB235" s="5"/>
    </row>
    <row r="236">
      <c r="B236" s="11" t="str">
        <f>Movies!C236</f>
        <v>Drama, Horror, Sci-Fi</v>
      </c>
      <c r="C236" s="11" t="str">
        <f>IFERROR(__xludf.DUMMYFUNCTION("ARRAYFORMULA(TRIM(SPLIT(B236, "","")))
"),"Drama")</f>
        <v>Drama</v>
      </c>
      <c r="D236" s="11" t="str">
        <f>IFERROR(__xludf.DUMMYFUNCTION("""COMPUTED_VALUE"""),"Horror")</f>
        <v>Horror</v>
      </c>
      <c r="E236" s="11" t="str">
        <f>IFERROR(__xludf.DUMMYFUNCTION("""COMPUTED_VALUE"""),"Sci-Fi")</f>
        <v>Sci-Fi</v>
      </c>
      <c r="J236" s="58"/>
      <c r="W236" s="51">
        <f>IFERROR(__xludf.DUMMYFUNCTION("""COMPUTED_VALUE"""),45219.0)</f>
        <v>45219</v>
      </c>
      <c r="X236" s="5"/>
      <c r="Y236" s="5"/>
      <c r="Z236" s="5"/>
      <c r="AA236" s="5"/>
      <c r="AB236" s="5"/>
    </row>
    <row r="237">
      <c r="B237" s="11" t="str">
        <f>Movies!C237</f>
        <v>Action, Adventure, Sci-Fi</v>
      </c>
      <c r="C237" s="11" t="str">
        <f>IFERROR(__xludf.DUMMYFUNCTION("ARRAYFORMULA(TRIM(SPLIT(B237, "","")))
"),"Action")</f>
        <v>Action</v>
      </c>
      <c r="D237" s="11" t="str">
        <f>IFERROR(__xludf.DUMMYFUNCTION("""COMPUTED_VALUE"""),"Adventure")</f>
        <v>Adventure</v>
      </c>
      <c r="E237" s="11" t="str">
        <f>IFERROR(__xludf.DUMMYFUNCTION("""COMPUTED_VALUE"""),"Sci-Fi")</f>
        <v>Sci-Fi</v>
      </c>
      <c r="J237" s="58"/>
      <c r="W237" s="51">
        <f>IFERROR(__xludf.DUMMYFUNCTION("""COMPUTED_VALUE"""),45226.0)</f>
        <v>45226</v>
      </c>
      <c r="X237" s="5"/>
      <c r="Y237" s="5"/>
      <c r="Z237" s="5"/>
      <c r="AA237" s="5"/>
      <c r="AB237" s="5"/>
    </row>
    <row r="238">
      <c r="B238" s="11" t="str">
        <f>Movies!C238</f>
        <v>Action, Adventure, Sci-Fi</v>
      </c>
      <c r="C238" s="11" t="str">
        <f>IFERROR(__xludf.DUMMYFUNCTION("ARRAYFORMULA(TRIM(SPLIT(B238, "","")))
"),"Action")</f>
        <v>Action</v>
      </c>
      <c r="D238" s="11" t="str">
        <f>IFERROR(__xludf.DUMMYFUNCTION("""COMPUTED_VALUE"""),"Adventure")</f>
        <v>Adventure</v>
      </c>
      <c r="E238" s="11" t="str">
        <f>IFERROR(__xludf.DUMMYFUNCTION("""COMPUTED_VALUE"""),"Sci-Fi")</f>
        <v>Sci-Fi</v>
      </c>
      <c r="J238" s="58"/>
      <c r="W238" s="51">
        <f>IFERROR(__xludf.DUMMYFUNCTION("""COMPUTED_VALUE"""),45240.0)</f>
        <v>45240</v>
      </c>
      <c r="X238" s="5"/>
      <c r="Y238" s="5"/>
      <c r="Z238" s="5"/>
      <c r="AA238" s="5"/>
      <c r="AB238" s="5"/>
    </row>
    <row r="239">
      <c r="B239" s="11" t="str">
        <f>Movies!C239</f>
        <v>Crime, Drama, Thriller</v>
      </c>
      <c r="C239" s="11" t="str">
        <f>IFERROR(__xludf.DUMMYFUNCTION("ARRAYFORMULA(TRIM(SPLIT(B239, "","")))
"),"Crime")</f>
        <v>Crime</v>
      </c>
      <c r="D239" s="11" t="str">
        <f>IFERROR(__xludf.DUMMYFUNCTION("""COMPUTED_VALUE"""),"Drama")</f>
        <v>Drama</v>
      </c>
      <c r="E239" s="11" t="str">
        <f>IFERROR(__xludf.DUMMYFUNCTION("""COMPUTED_VALUE"""),"Thriller")</f>
        <v>Thriller</v>
      </c>
      <c r="J239" s="58"/>
      <c r="W239" s="51">
        <f>IFERROR(__xludf.DUMMYFUNCTION("""COMPUTED_VALUE"""),45247.0)</f>
        <v>45247</v>
      </c>
      <c r="X239" s="5"/>
      <c r="Y239" s="5"/>
      <c r="Z239" s="5"/>
      <c r="AA239" s="5"/>
      <c r="AB239" s="5"/>
    </row>
    <row r="240">
      <c r="B240" s="11" t="str">
        <f>Movies!C240</f>
        <v>Comedy, Drama</v>
      </c>
      <c r="C240" s="11" t="str">
        <f>IFERROR(__xludf.DUMMYFUNCTION("ARRAYFORMULA(TRIM(SPLIT(B240, "","")))
"),"Comedy")</f>
        <v>Comedy</v>
      </c>
      <c r="D240" s="11" t="str">
        <f>IFERROR(__xludf.DUMMYFUNCTION("""COMPUTED_VALUE"""),"Drama")</f>
        <v>Drama</v>
      </c>
      <c r="J240" s="58"/>
      <c r="W240" s="51">
        <f>IFERROR(__xludf.DUMMYFUNCTION("""COMPUTED_VALUE"""),45336.0)</f>
        <v>45336</v>
      </c>
      <c r="X240" s="5"/>
      <c r="Y240" s="5"/>
      <c r="Z240" s="5"/>
      <c r="AA240" s="5"/>
      <c r="AB240" s="5"/>
    </row>
    <row r="241">
      <c r="B241" s="11" t="str">
        <f>Movies!C241</f>
        <v>Action, Adventure, Comedy</v>
      </c>
      <c r="C241" s="11" t="str">
        <f>IFERROR(__xludf.DUMMYFUNCTION("ARRAYFORMULA(TRIM(SPLIT(B241, "","")))
"),"Action")</f>
        <v>Action</v>
      </c>
      <c r="D241" s="11" t="str">
        <f>IFERROR(__xludf.DUMMYFUNCTION("""COMPUTED_VALUE"""),"Adventure")</f>
        <v>Adventure</v>
      </c>
      <c r="E241" s="11" t="str">
        <f>IFERROR(__xludf.DUMMYFUNCTION("""COMPUTED_VALUE"""),"Comedy")</f>
        <v>Comedy</v>
      </c>
      <c r="J241" s="58"/>
      <c r="W241" s="51">
        <f>IFERROR(__xludf.DUMMYFUNCTION("""COMPUTED_VALUE"""),45352.0)</f>
        <v>45352</v>
      </c>
      <c r="X241" s="5"/>
      <c r="Y241" s="5"/>
      <c r="Z241" s="5"/>
      <c r="AA241" s="5"/>
      <c r="AB241" s="5"/>
    </row>
    <row r="242">
      <c r="B242" s="11" t="str">
        <f>Movies!C242</f>
        <v>Horror, Thriller</v>
      </c>
      <c r="C242" s="11" t="str">
        <f>IFERROR(__xludf.DUMMYFUNCTION("ARRAYFORMULA(TRIM(SPLIT(B242, "","")))
"),"Horror")</f>
        <v>Horror</v>
      </c>
      <c r="D242" s="11" t="str">
        <f>IFERROR(__xludf.DUMMYFUNCTION("""COMPUTED_VALUE"""),"Thriller")</f>
        <v>Thriller</v>
      </c>
      <c r="J242" s="58"/>
      <c r="W242" s="51">
        <f>IFERROR(__xludf.DUMMYFUNCTION("""COMPUTED_VALUE"""),45373.0)</f>
        <v>45373</v>
      </c>
      <c r="X242" s="5"/>
      <c r="Y242" s="5"/>
      <c r="Z242" s="5"/>
      <c r="AA242" s="5"/>
      <c r="AB242" s="5"/>
    </row>
    <row r="243">
      <c r="B243" s="11" t="str">
        <f>Movies!C243</f>
        <v>Action, Comedy, Drama</v>
      </c>
      <c r="C243" s="11" t="str">
        <f>IFERROR(__xludf.DUMMYFUNCTION("ARRAYFORMULA(TRIM(SPLIT(B243, "","")))
"),"Action")</f>
        <v>Action</v>
      </c>
      <c r="D243" s="11" t="str">
        <f>IFERROR(__xludf.DUMMYFUNCTION("""COMPUTED_VALUE"""),"Comedy")</f>
        <v>Comedy</v>
      </c>
      <c r="E243" s="11" t="str">
        <f>IFERROR(__xludf.DUMMYFUNCTION("""COMPUTED_VALUE"""),"Drama")</f>
        <v>Drama</v>
      </c>
      <c r="J243" s="58"/>
      <c r="W243" s="51">
        <f>IFERROR(__xludf.DUMMYFUNCTION("""COMPUTED_VALUE"""),45415.0)</f>
        <v>45415</v>
      </c>
      <c r="X243" s="5"/>
      <c r="Y243" s="5"/>
      <c r="Z243" s="5"/>
      <c r="AA243" s="5"/>
      <c r="AB243" s="5"/>
    </row>
    <row r="244">
      <c r="B244" s="11" t="str">
        <f>Movies!C244</f>
        <v>Action, Adventure, Sci-Fi</v>
      </c>
      <c r="C244" s="11" t="str">
        <f>IFERROR(__xludf.DUMMYFUNCTION("ARRAYFORMULA(TRIM(SPLIT(B244, "","")))
"),"Action")</f>
        <v>Action</v>
      </c>
      <c r="D244" s="11" t="str">
        <f>IFERROR(__xludf.DUMMYFUNCTION("""COMPUTED_VALUE"""),"Adventure")</f>
        <v>Adventure</v>
      </c>
      <c r="E244" s="11" t="str">
        <f>IFERROR(__xludf.DUMMYFUNCTION("""COMPUTED_VALUE"""),"Sci-Fi")</f>
        <v>Sci-Fi</v>
      </c>
      <c r="J244" s="58"/>
      <c r="W244" s="51">
        <f>IFERROR(__xludf.DUMMYFUNCTION("""COMPUTED_VALUE"""),45422.0)</f>
        <v>45422</v>
      </c>
      <c r="X244" s="5"/>
      <c r="Y244" s="5"/>
      <c r="Z244" s="5"/>
      <c r="AA244" s="5"/>
      <c r="AB244" s="5"/>
    </row>
    <row r="245">
      <c r="B245" s="11" t="str">
        <f>Movies!C245</f>
        <v>Horror, Thriller</v>
      </c>
      <c r="C245" s="11" t="str">
        <f>IFERROR(__xludf.DUMMYFUNCTION("ARRAYFORMULA(TRIM(SPLIT(B245, "","")))
"),"Horror")</f>
        <v>Horror</v>
      </c>
      <c r="D245" s="11" t="str">
        <f>IFERROR(__xludf.DUMMYFUNCTION("""COMPUTED_VALUE"""),"Thriller")</f>
        <v>Thriller</v>
      </c>
      <c r="J245" s="58"/>
      <c r="W245" s="51">
        <f>IFERROR(__xludf.DUMMYFUNCTION("""COMPUTED_VALUE"""),45436.0)</f>
        <v>45436</v>
      </c>
      <c r="X245" s="5"/>
      <c r="Y245" s="5"/>
      <c r="Z245" s="5"/>
      <c r="AA245" s="5"/>
      <c r="AB245" s="5"/>
    </row>
    <row r="246">
      <c r="B246" s="11" t="str">
        <f>Movies!C246</f>
        <v>Crime, Drama</v>
      </c>
      <c r="C246" s="11" t="str">
        <f>IFERROR(__xludf.DUMMYFUNCTION("ARRAYFORMULA(TRIM(SPLIT(B246, "","")))
"),"Crime")</f>
        <v>Crime</v>
      </c>
      <c r="D246" s="11" t="str">
        <f>IFERROR(__xludf.DUMMYFUNCTION("""COMPUTED_VALUE"""),"Drama")</f>
        <v>Drama</v>
      </c>
      <c r="J246" s="58"/>
      <c r="W246" s="51">
        <f>IFERROR(__xludf.DUMMYFUNCTION("""COMPUTED_VALUE"""),45499.0)</f>
        <v>45499</v>
      </c>
      <c r="X246" s="5"/>
      <c r="Y246" s="5"/>
      <c r="Z246" s="5"/>
      <c r="AA246" s="5"/>
      <c r="AB246" s="5"/>
    </row>
    <row r="247">
      <c r="B247" s="11" t="str">
        <f>Movies!C247</f>
        <v>Crime, Drama, History</v>
      </c>
      <c r="C247" s="11" t="str">
        <f>IFERROR(__xludf.DUMMYFUNCTION("ARRAYFORMULA(TRIM(SPLIT(B247, "","")))
"),"Crime")</f>
        <v>Crime</v>
      </c>
      <c r="D247" s="11" t="str">
        <f>IFERROR(__xludf.DUMMYFUNCTION("""COMPUTED_VALUE"""),"Drama")</f>
        <v>Drama</v>
      </c>
      <c r="E247" s="11" t="str">
        <f>IFERROR(__xludf.DUMMYFUNCTION("""COMPUTED_VALUE"""),"History")</f>
        <v>History</v>
      </c>
      <c r="J247" s="58"/>
      <c r="W247" s="51">
        <f>IFERROR(__xludf.DUMMYFUNCTION("""COMPUTED_VALUE"""),45559.0)</f>
        <v>45559</v>
      </c>
      <c r="X247" s="5"/>
      <c r="Y247" s="5"/>
      <c r="Z247" s="5"/>
      <c r="AA247" s="5"/>
      <c r="AB247" s="5"/>
    </row>
    <row r="248">
      <c r="B248" s="11" t="str">
        <f>Movies!C248</f>
        <v>Action, Fantasy, Thriller</v>
      </c>
      <c r="C248" s="11" t="str">
        <f>IFERROR(__xludf.DUMMYFUNCTION("ARRAYFORMULA(TRIM(SPLIT(B248, "","")))
"),"Action")</f>
        <v>Action</v>
      </c>
      <c r="D248" s="11" t="str">
        <f>IFERROR(__xludf.DUMMYFUNCTION("""COMPUTED_VALUE"""),"Fantasy")</f>
        <v>Fantasy</v>
      </c>
      <c r="E248" s="11" t="str">
        <f>IFERROR(__xludf.DUMMYFUNCTION("""COMPUTED_VALUE"""),"Thriller")</f>
        <v>Thriller</v>
      </c>
      <c r="J248" s="58"/>
      <c r="W248" s="51">
        <f>IFERROR(__xludf.DUMMYFUNCTION("""COMPUTED_VALUE"""),45562.0)</f>
        <v>45562</v>
      </c>
      <c r="X248" s="5"/>
      <c r="Y248" s="5"/>
      <c r="Z248" s="5"/>
      <c r="AA248" s="5"/>
      <c r="AB248" s="5"/>
    </row>
    <row r="249">
      <c r="B249" s="11" t="str">
        <f>Movies!C249</f>
        <v>Action, Comedy, Crime</v>
      </c>
      <c r="C249" s="11" t="str">
        <f>IFERROR(__xludf.DUMMYFUNCTION("ARRAYFORMULA(TRIM(SPLIT(B249, "","")))
"),"Action")</f>
        <v>Action</v>
      </c>
      <c r="D249" s="11" t="str">
        <f>IFERROR(__xludf.DUMMYFUNCTION("""COMPUTED_VALUE"""),"Comedy")</f>
        <v>Comedy</v>
      </c>
      <c r="E249" s="11" t="str">
        <f>IFERROR(__xludf.DUMMYFUNCTION("""COMPUTED_VALUE"""),"Crime")</f>
        <v>Crime</v>
      </c>
      <c r="J249" s="58"/>
      <c r="W249" s="51">
        <f>IFERROR(__xludf.DUMMYFUNCTION("""COMPUTED_VALUE"""),45590.0)</f>
        <v>45590</v>
      </c>
      <c r="X249" s="5"/>
      <c r="Y249" s="5"/>
      <c r="Z249" s="5"/>
      <c r="AA249" s="5"/>
      <c r="AB249" s="5"/>
    </row>
    <row r="250">
      <c r="B250" s="11" t="str">
        <f>Movies!C250</f>
        <v>Action, Fantasy, Thriller</v>
      </c>
      <c r="C250" s="11" t="str">
        <f>IFERROR(__xludf.DUMMYFUNCTION("ARRAYFORMULA(TRIM(SPLIT(B250, "","")))
"),"Action")</f>
        <v>Action</v>
      </c>
      <c r="D250" s="11" t="str">
        <f>IFERROR(__xludf.DUMMYFUNCTION("""COMPUTED_VALUE"""),"Fantasy")</f>
        <v>Fantasy</v>
      </c>
      <c r="E250" s="11" t="str">
        <f>IFERROR(__xludf.DUMMYFUNCTION("""COMPUTED_VALUE"""),"Thriller")</f>
        <v>Thriller</v>
      </c>
      <c r="J250" s="58"/>
      <c r="W250" s="51">
        <f>IFERROR(__xludf.DUMMYFUNCTION("""COMPUTED_VALUE"""),45618.0)</f>
        <v>45618</v>
      </c>
      <c r="X250" s="5"/>
      <c r="Y250" s="5"/>
      <c r="Z250" s="5"/>
      <c r="AA250" s="5"/>
      <c r="AB250" s="5"/>
    </row>
    <row r="251">
      <c r="B251" s="11" t="str">
        <f>Movies!C251</f>
        <v>Action, Adventure, Sci-Fi</v>
      </c>
      <c r="C251" s="11" t="str">
        <f>IFERROR(__xludf.DUMMYFUNCTION("ARRAYFORMULA(TRIM(SPLIT(B251, "","")))
"),"Action")</f>
        <v>Action</v>
      </c>
      <c r="D251" s="11" t="str">
        <f>IFERROR(__xludf.DUMMYFUNCTION("""COMPUTED_VALUE"""),"Adventure")</f>
        <v>Adventure</v>
      </c>
      <c r="E251" s="11" t="str">
        <f>IFERROR(__xludf.DUMMYFUNCTION("""COMPUTED_VALUE"""),"Sci-Fi")</f>
        <v>Sci-Fi</v>
      </c>
      <c r="J251" s="58"/>
      <c r="W251" s="51">
        <f>IFERROR(__xludf.DUMMYFUNCTION("""COMPUTED_VALUE"""),45639.0)</f>
        <v>45639</v>
      </c>
      <c r="X251" s="5"/>
      <c r="Y251" s="5"/>
      <c r="Z251" s="5"/>
      <c r="AA251" s="5"/>
      <c r="AB251" s="5"/>
    </row>
    <row r="252">
      <c r="B252" s="11" t="str">
        <f>Movies!C252</f>
        <v>Action, Drama, Thriller</v>
      </c>
      <c r="C252" s="11" t="str">
        <f>IFERROR(__xludf.DUMMYFUNCTION("ARRAYFORMULA(TRIM(SPLIT(B252, "","")))
"),"Action")</f>
        <v>Action</v>
      </c>
      <c r="D252" s="11" t="str">
        <f>IFERROR(__xludf.DUMMYFUNCTION("""COMPUTED_VALUE"""),"Drama")</f>
        <v>Drama</v>
      </c>
      <c r="E252" s="11" t="str">
        <f>IFERROR(__xludf.DUMMYFUNCTION("""COMPUTED_VALUE"""),"Thriller")</f>
        <v>Thriller</v>
      </c>
      <c r="J252" s="58"/>
      <c r="W252" s="51">
        <f>IFERROR(__xludf.DUMMYFUNCTION("""COMPUTED_VALUE"""),45681.0)</f>
        <v>45681</v>
      </c>
      <c r="X252" s="5"/>
      <c r="Y252" s="5"/>
      <c r="Z252" s="5"/>
      <c r="AA252" s="5"/>
      <c r="AB252" s="5"/>
    </row>
    <row r="253">
      <c r="B253" s="11" t="str">
        <f>Movies!C253</f>
        <v>Drama, Horror, Mystery</v>
      </c>
      <c r="C253" s="11" t="str">
        <f>IFERROR(__xludf.DUMMYFUNCTION("ARRAYFORMULA(TRIM(SPLIT(B253, "","")))
"),"Drama")</f>
        <v>Drama</v>
      </c>
      <c r="D253" s="11" t="str">
        <f>IFERROR(__xludf.DUMMYFUNCTION("""COMPUTED_VALUE"""),"Horror")</f>
        <v>Horror</v>
      </c>
      <c r="E253" s="11" t="str">
        <f>IFERROR(__xludf.DUMMYFUNCTION("""COMPUTED_VALUE"""),"Mystery")</f>
        <v>Mystery</v>
      </c>
      <c r="J253" s="58"/>
      <c r="W253" s="51">
        <f>IFERROR(__xludf.DUMMYFUNCTION("""COMPUTED_VALUE"""),45685.0)</f>
        <v>45685</v>
      </c>
      <c r="X253" s="5"/>
      <c r="Y253" s="5"/>
      <c r="Z253" s="5"/>
      <c r="AA253" s="5"/>
      <c r="AB253" s="5"/>
    </row>
    <row r="254">
      <c r="B254" s="11" t="str">
        <f>Movies!C254</f>
        <v>Action, Fantasy, Thriller</v>
      </c>
      <c r="C254" s="11" t="str">
        <f>IFERROR(__xludf.DUMMYFUNCTION("ARRAYFORMULA(TRIM(SPLIT(B254, "","")))
"),"Action")</f>
        <v>Action</v>
      </c>
      <c r="D254" s="11" t="str">
        <f>IFERROR(__xludf.DUMMYFUNCTION("""COMPUTED_VALUE"""),"Fantasy")</f>
        <v>Fantasy</v>
      </c>
      <c r="E254" s="11" t="str">
        <f>IFERROR(__xludf.DUMMYFUNCTION("""COMPUTED_VALUE"""),"Thriller")</f>
        <v>Thriller</v>
      </c>
      <c r="J254" s="58"/>
      <c r="W254" s="51">
        <f>IFERROR(__xludf.DUMMYFUNCTION("""COMPUTED_VALUE"""),45702.0)</f>
        <v>45702</v>
      </c>
      <c r="X254" s="5"/>
      <c r="Y254" s="5"/>
      <c r="Z254" s="5"/>
      <c r="AA254" s="5"/>
      <c r="AB254" s="5"/>
    </row>
    <row r="255">
      <c r="B255" s="11" t="str">
        <f>Movies!C255</f>
        <v>Action, Drama, Thriller</v>
      </c>
      <c r="C255" s="11" t="str">
        <f>IFERROR(__xludf.DUMMYFUNCTION("ARRAYFORMULA(TRIM(SPLIT(B255, "","")))
"),"Action")</f>
        <v>Action</v>
      </c>
      <c r="D255" s="11" t="str">
        <f>IFERROR(__xludf.DUMMYFUNCTION("""COMPUTED_VALUE"""),"Drama")</f>
        <v>Drama</v>
      </c>
      <c r="E255" s="11" t="str">
        <f>IFERROR(__xludf.DUMMYFUNCTION("""COMPUTED_VALUE"""),"Thriller")</f>
        <v>Thriller</v>
      </c>
      <c r="J255" s="58"/>
      <c r="W255" s="51">
        <f>IFERROR(__xludf.DUMMYFUNCTION("""COMPUTED_VALUE"""),45723.0)</f>
        <v>45723</v>
      </c>
      <c r="X255" s="5"/>
      <c r="Y255" s="5"/>
      <c r="Z255" s="5"/>
      <c r="AA255" s="5"/>
      <c r="AB255" s="5"/>
    </row>
    <row r="256">
      <c r="B256" s="11" t="str">
        <f>Movies!C256</f>
        <v>Action, Sci-Fi</v>
      </c>
      <c r="C256" s="11" t="str">
        <f>IFERROR(__xludf.DUMMYFUNCTION("ARRAYFORMULA(TRIM(SPLIT(B256, "","")))
"),"Action")</f>
        <v>Action</v>
      </c>
      <c r="D256" s="11" t="str">
        <f>IFERROR(__xludf.DUMMYFUNCTION("""COMPUTED_VALUE"""),"Sci-Fi")</f>
        <v>Sci-Fi</v>
      </c>
      <c r="J256" s="58"/>
      <c r="W256" s="51">
        <f>IFERROR(__xludf.DUMMYFUNCTION("""COMPUTED_VALUE"""),45730.0)</f>
        <v>45730</v>
      </c>
      <c r="X256" s="5"/>
      <c r="Y256" s="5"/>
      <c r="Z256" s="5"/>
      <c r="AA256" s="5"/>
      <c r="AB256" s="5"/>
    </row>
    <row r="257">
      <c r="B257" s="11" t="str">
        <f>Movies!C257</f>
        <v>Comedy, Crime, Drama</v>
      </c>
      <c r="C257" s="11" t="str">
        <f>IFERROR(__xludf.DUMMYFUNCTION("ARRAYFORMULA(TRIM(SPLIT(B257, "","")))
"),"Comedy")</f>
        <v>Comedy</v>
      </c>
      <c r="D257" s="11" t="str">
        <f>IFERROR(__xludf.DUMMYFUNCTION("""COMPUTED_VALUE"""),"Crime")</f>
        <v>Crime</v>
      </c>
      <c r="E257" s="11" t="str">
        <f>IFERROR(__xludf.DUMMYFUNCTION("""COMPUTED_VALUE"""),"Drama")</f>
        <v>Drama</v>
      </c>
      <c r="J257" s="58"/>
      <c r="W257" s="51">
        <f>IFERROR(__xludf.DUMMYFUNCTION("""COMPUTED_VALUE"""),45744.0)</f>
        <v>45744</v>
      </c>
      <c r="X257" s="5"/>
      <c r="Y257" s="5"/>
      <c r="Z257" s="5"/>
      <c r="AA257" s="5"/>
      <c r="AB257" s="5"/>
    </row>
    <row r="258">
      <c r="B258" s="11" t="str">
        <f>Movies!C258</f>
        <v>Crime, Mystery</v>
      </c>
      <c r="C258" s="11" t="str">
        <f>IFERROR(__xludf.DUMMYFUNCTION("ARRAYFORMULA(TRIM(SPLIT(B258, "","")))
"),"Crime")</f>
        <v>Crime</v>
      </c>
      <c r="D258" s="11" t="str">
        <f>IFERROR(__xludf.DUMMYFUNCTION("""COMPUTED_VALUE"""),"Mystery")</f>
        <v>Mystery</v>
      </c>
      <c r="J258" s="58"/>
      <c r="W258" s="51">
        <f>IFERROR(__xludf.DUMMYFUNCTION("""COMPUTED_VALUE"""),45751.0)</f>
        <v>45751</v>
      </c>
      <c r="X258" s="5"/>
      <c r="Y258" s="5"/>
      <c r="Z258" s="5"/>
      <c r="AA258" s="5"/>
      <c r="AB258" s="5"/>
    </row>
    <row r="259">
      <c r="B259" s="11" t="str">
        <f>Movies!C259</f>
        <v>Horror, Thriller</v>
      </c>
      <c r="C259" s="11" t="str">
        <f>IFERROR(__xludf.DUMMYFUNCTION("ARRAYFORMULA(TRIM(SPLIT(B259, "","")))
"),"Horror")</f>
        <v>Horror</v>
      </c>
      <c r="D259" s="11" t="str">
        <f>IFERROR(__xludf.DUMMYFUNCTION("""COMPUTED_VALUE"""),"Thriller")</f>
        <v>Thriller</v>
      </c>
      <c r="J259" s="58"/>
      <c r="W259" s="51">
        <f>IFERROR(__xludf.DUMMYFUNCTION("""COMPUTED_VALUE"""),45758.0)</f>
        <v>45758</v>
      </c>
      <c r="X259" s="5"/>
      <c r="Y259" s="5"/>
      <c r="Z259" s="5"/>
      <c r="AA259" s="5"/>
      <c r="AB259" s="5"/>
    </row>
    <row r="260">
      <c r="B260" s="11" t="str">
        <f>Movies!C260</f>
        <v>Action, Fantasy</v>
      </c>
      <c r="C260" s="11" t="str">
        <f>IFERROR(__xludf.DUMMYFUNCTION("ARRAYFORMULA(TRIM(SPLIT(B260, "","")))
"),"Action")</f>
        <v>Action</v>
      </c>
      <c r="D260" s="11" t="str">
        <f>IFERROR(__xludf.DUMMYFUNCTION("""COMPUTED_VALUE"""),"Fantasy")</f>
        <v>Fantasy</v>
      </c>
      <c r="J260" s="58"/>
      <c r="W260" s="51">
        <f>IFERROR(__xludf.DUMMYFUNCTION("""COMPUTED_VALUE"""),45765.0)</f>
        <v>45765</v>
      </c>
      <c r="X260" s="5"/>
      <c r="Y260" s="5"/>
      <c r="Z260" s="5"/>
      <c r="AA260" s="5"/>
      <c r="AB260" s="5"/>
    </row>
    <row r="261">
      <c r="B261" s="11" t="str">
        <f>Movies!C261</f>
        <v>Action, Mystery, Sci-Fi</v>
      </c>
      <c r="C261" s="11" t="str">
        <f>IFERROR(__xludf.DUMMYFUNCTION("ARRAYFORMULA(TRIM(SPLIT(B261, "","")))
"),"Action")</f>
        <v>Action</v>
      </c>
      <c r="D261" s="11" t="str">
        <f>IFERROR(__xludf.DUMMYFUNCTION("""COMPUTED_VALUE"""),"Mystery")</f>
        <v>Mystery</v>
      </c>
      <c r="E261" s="11" t="str">
        <f>IFERROR(__xludf.DUMMYFUNCTION("""COMPUTED_VALUE"""),"Sci-Fi")</f>
        <v>Sci-Fi</v>
      </c>
      <c r="J261" s="58"/>
      <c r="W261" s="51">
        <f>IFERROR(__xludf.DUMMYFUNCTION("""COMPUTED_VALUE"""),45772.0)</f>
        <v>45772</v>
      </c>
      <c r="X261" s="5"/>
      <c r="Y261" s="5"/>
      <c r="Z261" s="5"/>
      <c r="AA261" s="5"/>
      <c r="AB261" s="5"/>
    </row>
    <row r="262">
      <c r="B262" s="11" t="str">
        <f>Movies!C262</f>
        <v>Action, Comedy, Sci-Fi</v>
      </c>
      <c r="C262" s="11" t="str">
        <f>IFERROR(__xludf.DUMMYFUNCTION("ARRAYFORMULA(TRIM(SPLIT(B262, "","")))
"),"Action")</f>
        <v>Action</v>
      </c>
      <c r="D262" s="11" t="str">
        <f>IFERROR(__xludf.DUMMYFUNCTION("""COMPUTED_VALUE"""),"Comedy")</f>
        <v>Comedy</v>
      </c>
      <c r="E262" s="11" t="str">
        <f>IFERROR(__xludf.DUMMYFUNCTION("""COMPUTED_VALUE"""),"Sci-Fi")</f>
        <v>Sci-Fi</v>
      </c>
      <c r="J262" s="58"/>
      <c r="W262" s="51">
        <f>IFERROR(__xludf.DUMMYFUNCTION("""COMPUTED_VALUE"""),45779.0)</f>
        <v>45779</v>
      </c>
      <c r="X262" s="5"/>
      <c r="Y262" s="5"/>
      <c r="Z262" s="5"/>
      <c r="AA262" s="5"/>
      <c r="AB262" s="5"/>
    </row>
    <row r="263">
      <c r="B263" s="11" t="str">
        <f>Movies!C263</f>
        <v>Action, Comedy, Crime</v>
      </c>
      <c r="C263" s="11" t="str">
        <f>IFERROR(__xludf.DUMMYFUNCTION("ARRAYFORMULA(TRIM(SPLIT(B263, "","")))
"),"Action")</f>
        <v>Action</v>
      </c>
      <c r="D263" s="11" t="str">
        <f>IFERROR(__xludf.DUMMYFUNCTION("""COMPUTED_VALUE"""),"Comedy")</f>
        <v>Comedy</v>
      </c>
      <c r="E263" s="11" t="str">
        <f>IFERROR(__xludf.DUMMYFUNCTION("""COMPUTED_VALUE"""),"Crime")</f>
        <v>Crime</v>
      </c>
      <c r="J263" s="58"/>
      <c r="W263" s="51">
        <f>IFERROR(__xludf.DUMMYFUNCTION("""COMPUTED_VALUE"""),45793.0)</f>
        <v>45793</v>
      </c>
      <c r="X263" s="5"/>
      <c r="Y263" s="5"/>
      <c r="Z263" s="5"/>
      <c r="AA263" s="5"/>
      <c r="AB263" s="5"/>
    </row>
    <row r="264">
      <c r="B264" s="11" t="str">
        <f>Movies!C264</f>
        <v>Action, Adventure, Sci-Fi</v>
      </c>
      <c r="C264" s="11" t="str">
        <f>IFERROR(__xludf.DUMMYFUNCTION("ARRAYFORMULA(TRIM(SPLIT(B264, "","")))
"),"Action")</f>
        <v>Action</v>
      </c>
      <c r="D264" s="11" t="str">
        <f>IFERROR(__xludf.DUMMYFUNCTION("""COMPUTED_VALUE"""),"Adventure")</f>
        <v>Adventure</v>
      </c>
      <c r="E264" s="11" t="str">
        <f>IFERROR(__xludf.DUMMYFUNCTION("""COMPUTED_VALUE"""),"Sci-Fi")</f>
        <v>Sci-Fi</v>
      </c>
      <c r="J264" s="58"/>
      <c r="W264" s="51">
        <f>IFERROR(__xludf.DUMMYFUNCTION("""COMPUTED_VALUE"""),45800.0)</f>
        <v>45800</v>
      </c>
      <c r="X264" s="5"/>
      <c r="Y264" s="5"/>
      <c r="Z264" s="5"/>
      <c r="AA264" s="5"/>
      <c r="AB264" s="5"/>
    </row>
    <row r="265">
      <c r="B265" s="11" t="str">
        <f>Movies!C265</f>
        <v>Action, Adventure, Drama</v>
      </c>
      <c r="C265" s="11" t="str">
        <f>IFERROR(__xludf.DUMMYFUNCTION("ARRAYFORMULA(TRIM(SPLIT(B265, "","")))
"),"Action")</f>
        <v>Action</v>
      </c>
      <c r="D265" s="11" t="str">
        <f>IFERROR(__xludf.DUMMYFUNCTION("""COMPUTED_VALUE"""),"Adventure")</f>
        <v>Adventure</v>
      </c>
      <c r="E265" s="11" t="str">
        <f>IFERROR(__xludf.DUMMYFUNCTION("""COMPUTED_VALUE"""),"Drama")</f>
        <v>Drama</v>
      </c>
      <c r="J265" s="58"/>
      <c r="W265" s="51">
        <f>IFERROR(__xludf.DUMMYFUNCTION("""COMPUTED_VALUE"""),45821.0)</f>
        <v>45821</v>
      </c>
      <c r="X265" s="5"/>
      <c r="Y265" s="5"/>
      <c r="Z265" s="5"/>
      <c r="AA265" s="5"/>
      <c r="AB265" s="5"/>
    </row>
    <row r="266">
      <c r="B266" s="11" t="str">
        <f>Movies!C266</f>
        <v>Action, Adventure, Fantasy</v>
      </c>
      <c r="C266" s="11" t="str">
        <f>IFERROR(__xludf.DUMMYFUNCTION("ARRAYFORMULA(TRIM(SPLIT(B266, "","")))
"),"Action")</f>
        <v>Action</v>
      </c>
      <c r="D266" s="11" t="str">
        <f>IFERROR(__xludf.DUMMYFUNCTION("""COMPUTED_VALUE"""),"Adventure")</f>
        <v>Adventure</v>
      </c>
      <c r="E266" s="11" t="str">
        <f>IFERROR(__xludf.DUMMYFUNCTION("""COMPUTED_VALUE"""),"Fantasy")</f>
        <v>Fantasy</v>
      </c>
      <c r="J266" s="58"/>
      <c r="W266" s="51">
        <f>IFERROR(__xludf.DUMMYFUNCTION("""COMPUTED_VALUE"""),45828.0)</f>
        <v>45828</v>
      </c>
      <c r="X266" s="5"/>
      <c r="Y266" s="5"/>
      <c r="Z266" s="5"/>
      <c r="AA266" s="5"/>
      <c r="AB266" s="5"/>
    </row>
    <row r="267">
      <c r="B267" s="11" t="str">
        <f>Movies!C267</f>
        <v>Action, Adventure, Comedy</v>
      </c>
      <c r="C267" s="11" t="str">
        <f>IFERROR(__xludf.DUMMYFUNCTION("ARRAYFORMULA(TRIM(SPLIT(B267, "","")))
"),"Action")</f>
        <v>Action</v>
      </c>
      <c r="D267" s="11" t="str">
        <f>IFERROR(__xludf.DUMMYFUNCTION("""COMPUTED_VALUE"""),"Adventure")</f>
        <v>Adventure</v>
      </c>
      <c r="E267" s="11" t="str">
        <f>IFERROR(__xludf.DUMMYFUNCTION("""COMPUTED_VALUE"""),"Comedy")</f>
        <v>Comedy</v>
      </c>
      <c r="J267" s="58"/>
      <c r="W267" s="51">
        <f>IFERROR(__xludf.DUMMYFUNCTION("""COMPUTED_VALUE"""),45835.0)</f>
        <v>45835</v>
      </c>
      <c r="X267" s="5"/>
      <c r="Y267" s="5"/>
      <c r="Z267" s="5"/>
      <c r="AA267" s="5"/>
      <c r="AB267" s="5"/>
    </row>
    <row r="268">
      <c r="B268" s="11" t="str">
        <f>Movies!C268</f>
        <v>Action, Crime, Drama</v>
      </c>
      <c r="C268" s="11" t="str">
        <f>IFERROR(__xludf.DUMMYFUNCTION("ARRAYFORMULA(TRIM(SPLIT(B268, "","")))
"),"Action")</f>
        <v>Action</v>
      </c>
      <c r="D268" s="11" t="str">
        <f>IFERROR(__xludf.DUMMYFUNCTION("""COMPUTED_VALUE"""),"Crime")</f>
        <v>Crime</v>
      </c>
      <c r="E268" s="11" t="str">
        <f>IFERROR(__xludf.DUMMYFUNCTION("""COMPUTED_VALUE"""),"Drama")</f>
        <v>Drama</v>
      </c>
      <c r="J268" s="58"/>
      <c r="W268" s="51">
        <f>IFERROR(__xludf.DUMMYFUNCTION("""COMPUTED_VALUE"""),45840.0)</f>
        <v>45840</v>
      </c>
      <c r="X268" s="5"/>
      <c r="Y268" s="5"/>
      <c r="Z268" s="5"/>
      <c r="AA268" s="5"/>
      <c r="AB268" s="5"/>
    </row>
    <row r="269">
      <c r="B269" s="11" t="str">
        <f>Movies!C269</f>
        <v>Drama, Romance</v>
      </c>
      <c r="C269" s="11" t="str">
        <f>IFERROR(__xludf.DUMMYFUNCTION("ARRAYFORMULA(TRIM(SPLIT(B269, "","")))
"),"Drama")</f>
        <v>Drama</v>
      </c>
      <c r="D269" s="11" t="str">
        <f>IFERROR(__xludf.DUMMYFUNCTION("""COMPUTED_VALUE"""),"Romance")</f>
        <v>Romance</v>
      </c>
      <c r="J269" s="58"/>
      <c r="W269" s="51">
        <f>IFERROR(__xludf.DUMMYFUNCTION("""COMPUTED_VALUE"""),45849.0)</f>
        <v>45849</v>
      </c>
      <c r="X269" s="5"/>
      <c r="Y269" s="5"/>
      <c r="Z269" s="5"/>
      <c r="AA269" s="5"/>
      <c r="AB269" s="5"/>
    </row>
    <row r="270">
      <c r="B270" s="11" t="str">
        <f>Movies!C270</f>
        <v>Drama, Horror, Sci-Fi</v>
      </c>
      <c r="C270" s="11" t="str">
        <f>IFERROR(__xludf.DUMMYFUNCTION("ARRAYFORMULA(TRIM(SPLIT(B270, "","")))
"),"Drama")</f>
        <v>Drama</v>
      </c>
      <c r="D270" s="11" t="str">
        <f>IFERROR(__xludf.DUMMYFUNCTION("""COMPUTED_VALUE"""),"Horror")</f>
        <v>Horror</v>
      </c>
      <c r="E270" s="11" t="str">
        <f>IFERROR(__xludf.DUMMYFUNCTION("""COMPUTED_VALUE"""),"Sci-Fi")</f>
        <v>Sci-Fi</v>
      </c>
      <c r="J270" s="58"/>
      <c r="W270" s="51">
        <f>IFERROR(__xludf.DUMMYFUNCTION("""COMPUTED_VALUE"""),45851.0)</f>
        <v>45851</v>
      </c>
      <c r="X270" s="5"/>
      <c r="Y270" s="5"/>
      <c r="Z270" s="5"/>
      <c r="AA270" s="5"/>
      <c r="AB270" s="5"/>
    </row>
    <row r="271">
      <c r="B271" s="11" t="str">
        <f>Movies!C271</f>
        <v>Action, Adventure, Fantasy</v>
      </c>
      <c r="C271" s="11" t="str">
        <f>IFERROR(__xludf.DUMMYFUNCTION("ARRAYFORMULA(TRIM(SPLIT(B271, "","")))
"),"Action")</f>
        <v>Action</v>
      </c>
      <c r="D271" s="11" t="str">
        <f>IFERROR(__xludf.DUMMYFUNCTION("""COMPUTED_VALUE"""),"Adventure")</f>
        <v>Adventure</v>
      </c>
      <c r="E271" s="11" t="str">
        <f>IFERROR(__xludf.DUMMYFUNCTION("""COMPUTED_VALUE"""),"Fantasy")</f>
        <v>Fantasy</v>
      </c>
      <c r="J271" s="58"/>
      <c r="W271" s="51">
        <f>IFERROR(__xludf.DUMMYFUNCTION("""COMPUTED_VALUE"""),45863.0)</f>
        <v>45863</v>
      </c>
      <c r="X271" s="5"/>
      <c r="Y271" s="5"/>
      <c r="Z271" s="5"/>
      <c r="AA271" s="5"/>
      <c r="AB271" s="5"/>
    </row>
    <row r="272">
      <c r="B272" s="11" t="str">
        <f>Movies!C272</f>
        <v>Comedy, Drama, War</v>
      </c>
      <c r="C272" s="11" t="str">
        <f>IFERROR(__xludf.DUMMYFUNCTION("ARRAYFORMULA(TRIM(SPLIT(B272, "","")))
"),"Comedy")</f>
        <v>Comedy</v>
      </c>
      <c r="D272" s="11" t="str">
        <f>IFERROR(__xludf.DUMMYFUNCTION("""COMPUTED_VALUE"""),"Drama")</f>
        <v>Drama</v>
      </c>
      <c r="E272" s="11" t="str">
        <f>IFERROR(__xludf.DUMMYFUNCTION("""COMPUTED_VALUE"""),"War")</f>
        <v>War</v>
      </c>
      <c r="J272" s="58"/>
      <c r="W272" s="51">
        <f>IFERROR(__xludf.DUMMYFUNCTION("""COMPUTED_VALUE"""),45868.0)</f>
        <v>45868</v>
      </c>
      <c r="X272" s="5"/>
      <c r="Y272" s="5"/>
      <c r="Z272" s="5"/>
      <c r="AA272" s="5"/>
      <c r="AB272" s="5"/>
    </row>
    <row r="273">
      <c r="B273" s="11" t="str">
        <f>Movies!C273</f>
        <v>Drama, Fantasy, Mystery</v>
      </c>
      <c r="C273" s="11" t="str">
        <f>IFERROR(__xludf.DUMMYFUNCTION("ARRAYFORMULA(TRIM(SPLIT(B273, "","")))
"),"Drama")</f>
        <v>Drama</v>
      </c>
      <c r="D273" s="11" t="str">
        <f>IFERROR(__xludf.DUMMYFUNCTION("""COMPUTED_VALUE"""),"Fantasy")</f>
        <v>Fantasy</v>
      </c>
      <c r="E273" s="11" t="str">
        <f>IFERROR(__xludf.DUMMYFUNCTION("""COMPUTED_VALUE"""),"Mystery")</f>
        <v>Mystery</v>
      </c>
      <c r="J273" s="58"/>
      <c r="W273" s="51">
        <f>IFERROR(__xludf.DUMMYFUNCTION("""COMPUTED_VALUE"""),45889.0)</f>
        <v>45889</v>
      </c>
      <c r="X273" s="5"/>
      <c r="Y273" s="5"/>
      <c r="Z273" s="5"/>
      <c r="AA273" s="5"/>
      <c r="AB273" s="5"/>
    </row>
    <row r="274">
      <c r="B274" s="11" t="str">
        <f>Movies!C274</f>
        <v>Action, Adventure, Fantasy</v>
      </c>
      <c r="C274" s="11" t="str">
        <f>IFERROR(__xludf.DUMMYFUNCTION("ARRAYFORMULA(TRIM(SPLIT(B274, "","")))
"),"Action")</f>
        <v>Action</v>
      </c>
      <c r="D274" s="11" t="str">
        <f>IFERROR(__xludf.DUMMYFUNCTION("""COMPUTED_VALUE"""),"Adventure")</f>
        <v>Adventure</v>
      </c>
      <c r="E274" s="11" t="str">
        <f>IFERROR(__xludf.DUMMYFUNCTION("""COMPUTED_VALUE"""),"Fantasy")</f>
        <v>Fantasy</v>
      </c>
      <c r="J274" s="58"/>
      <c r="W274" s="51">
        <f>IFERROR(__xludf.DUMMYFUNCTION("""COMPUTED_VALUE"""),45905.0)</f>
        <v>45905</v>
      </c>
      <c r="X274" s="5"/>
      <c r="Y274" s="5"/>
      <c r="Z274" s="5"/>
      <c r="AA274" s="5"/>
      <c r="AB274" s="5"/>
    </row>
    <row r="275">
      <c r="B275" s="11" t="str">
        <f>Movies!C275</f>
        <v>Action, Adventure, Comedy</v>
      </c>
      <c r="C275" s="11" t="str">
        <f>IFERROR(__xludf.DUMMYFUNCTION("ARRAYFORMULA(TRIM(SPLIT(B275, "","")))
"),"Action")</f>
        <v>Action</v>
      </c>
      <c r="D275" s="11" t="str">
        <f>IFERROR(__xludf.DUMMYFUNCTION("""COMPUTED_VALUE"""),"Adventure")</f>
        <v>Adventure</v>
      </c>
      <c r="E275" s="11" t="str">
        <f>IFERROR(__xludf.DUMMYFUNCTION("""COMPUTED_VALUE"""),"Comedy")</f>
        <v>Comedy</v>
      </c>
      <c r="J275" s="58"/>
      <c r="W275" s="51">
        <f>IFERROR(__xludf.DUMMYFUNCTION("""COMPUTED_VALUE"""),45912.0)</f>
        <v>45912</v>
      </c>
      <c r="X275" s="5"/>
      <c r="Y275" s="5"/>
      <c r="Z275" s="5"/>
      <c r="AA275" s="5"/>
      <c r="AB275" s="5"/>
    </row>
    <row r="276">
      <c r="B276" s="11" t="str">
        <f>Movies!C276</f>
        <v>Crime, Drama, Mystery</v>
      </c>
      <c r="C276" s="11" t="str">
        <f>IFERROR(__xludf.DUMMYFUNCTION("ARRAYFORMULA(TRIM(SPLIT(B276, "","")))
"),"Crime")</f>
        <v>Crime</v>
      </c>
      <c r="D276" s="11" t="str">
        <f>IFERROR(__xludf.DUMMYFUNCTION("""COMPUTED_VALUE"""),"Drama")</f>
        <v>Drama</v>
      </c>
      <c r="E276" s="11" t="str">
        <f>IFERROR(__xludf.DUMMYFUNCTION("""COMPUTED_VALUE"""),"Mystery")</f>
        <v>Mystery</v>
      </c>
      <c r="J276" s="58"/>
      <c r="W276" s="51">
        <f>IFERROR(__xludf.DUMMYFUNCTION("""COMPUTED_VALUE"""),45926.0)</f>
        <v>45926</v>
      </c>
      <c r="X276" s="5"/>
      <c r="Y276" s="5"/>
      <c r="Z276" s="5"/>
      <c r="AA276" s="5"/>
      <c r="AB276" s="5"/>
    </row>
    <row r="277">
      <c r="B277" s="11" t="str">
        <f>Movies!C277</f>
        <v>Action, Drama, Fantasy</v>
      </c>
      <c r="C277" s="11" t="str">
        <f>IFERROR(__xludf.DUMMYFUNCTION("ARRAYFORMULA(TRIM(SPLIT(B277, "","")))
"),"Action")</f>
        <v>Action</v>
      </c>
      <c r="D277" s="11" t="str">
        <f>IFERROR(__xludf.DUMMYFUNCTION("""COMPUTED_VALUE"""),"Drama")</f>
        <v>Drama</v>
      </c>
      <c r="E277" s="11" t="str">
        <f>IFERROR(__xludf.DUMMYFUNCTION("""COMPUTED_VALUE"""),"Fantasy")</f>
        <v>Fantasy</v>
      </c>
      <c r="J277" s="58"/>
      <c r="W277" s="51">
        <f>IFERROR(__xludf.DUMMYFUNCTION("""COMPUTED_VALUE"""),45931.0)</f>
        <v>45931</v>
      </c>
      <c r="X277" s="5"/>
      <c r="Y277" s="5"/>
      <c r="Z277" s="5"/>
      <c r="AA277" s="5"/>
      <c r="AB277" s="5"/>
    </row>
    <row r="278">
      <c r="B278" s="11" t="str">
        <f>Movies!C278</f>
        <v>Action, Adventure, Fantasy</v>
      </c>
      <c r="C278" s="11" t="str">
        <f>IFERROR(__xludf.DUMMYFUNCTION("ARRAYFORMULA(TRIM(SPLIT(B278, "","")))
"),"Action")</f>
        <v>Action</v>
      </c>
      <c r="D278" s="11" t="str">
        <f>IFERROR(__xludf.DUMMYFUNCTION("""COMPUTED_VALUE"""),"Adventure")</f>
        <v>Adventure</v>
      </c>
      <c r="E278" s="11" t="str">
        <f>IFERROR(__xludf.DUMMYFUNCTION("""COMPUTED_VALUE"""),"Fantasy")</f>
        <v>Fantasy</v>
      </c>
      <c r="J278" s="58"/>
      <c r="W278" s="51">
        <f>IFERROR(__xludf.DUMMYFUNCTION("""COMPUTED_VALUE"""),45940.0)</f>
        <v>45940</v>
      </c>
      <c r="X278" s="5"/>
      <c r="Y278" s="5"/>
      <c r="Z278" s="5"/>
      <c r="AA278" s="5"/>
      <c r="AB278" s="5"/>
    </row>
    <row r="279">
      <c r="B279" s="11" t="str">
        <f>Movies!C279</f>
        <v>Action, Adventure, Comedy</v>
      </c>
      <c r="C279" s="11" t="str">
        <f>IFERROR(__xludf.DUMMYFUNCTION("IF(ISBLANK(B279) = TRUE, ARRAYFORMULA(TRIM(SPLIT(B279, "",""))), """")"),"")</f>
        <v/>
      </c>
      <c r="J279" s="58"/>
      <c r="W279" s="51">
        <f>IFERROR(__xludf.DUMMYFUNCTION("""COMPUTED_VALUE"""),45947.0)</f>
        <v>45947</v>
      </c>
      <c r="X279" s="5"/>
      <c r="Y279" s="5"/>
      <c r="Z279" s="5"/>
      <c r="AA279" s="5"/>
      <c r="AB279" s="5"/>
    </row>
    <row r="280">
      <c r="B280" s="11" t="str">
        <f>Movies!C280</f>
        <v>Action, Crime, Drama</v>
      </c>
      <c r="C280" s="11" t="str">
        <f>IFERROR(__xludf.DUMMYFUNCTION("IF(ISBLANK(B280) = TRUE, ARRAYFORMULA(TRIM(SPLIT(B280, "",""))), """")"),"")</f>
        <v/>
      </c>
      <c r="J280" s="58"/>
      <c r="W280" s="51">
        <f>IFERROR(__xludf.DUMMYFUNCTION("""COMPUTED_VALUE"""),45975.0)</f>
        <v>45975</v>
      </c>
      <c r="X280" s="5"/>
      <c r="Y280" s="5"/>
      <c r="Z280" s="5"/>
      <c r="AA280" s="5"/>
      <c r="AB280" s="5"/>
    </row>
    <row r="281">
      <c r="B281" s="11" t="str">
        <f>Movies!C281</f>
        <v>Action, Adventure, Sci-Fi</v>
      </c>
      <c r="C281" s="11" t="str">
        <f>IFERROR(__xludf.DUMMYFUNCTION("IF(ISBLANK(B281) = TRUE, ARRAYFORMULA(TRIM(SPLIT(B281, "",""))), """")"),"")</f>
        <v/>
      </c>
      <c r="J281" s="58"/>
      <c r="W281" s="51">
        <f>IFERROR(__xludf.DUMMYFUNCTION("""COMPUTED_VALUE"""),45989.0)</f>
        <v>45989</v>
      </c>
      <c r="X281" s="5"/>
      <c r="Y281" s="5"/>
      <c r="Z281" s="5"/>
      <c r="AA281" s="5"/>
      <c r="AB281" s="5"/>
    </row>
    <row r="282">
      <c r="B282" s="11" t="str">
        <f>Movies!C282</f>
        <v>Action, Adventure, Crime</v>
      </c>
      <c r="C282" s="11" t="str">
        <f>IFERROR(__xludf.DUMMYFUNCTION("IF(ISBLANK(B282) = TRUE, ARRAYFORMULA(TRIM(SPLIT(B282, "",""))), """")"),"")</f>
        <v/>
      </c>
      <c r="J282" s="58"/>
      <c r="W282" s="51">
        <f>IFERROR(__xludf.DUMMYFUNCTION("""COMPUTED_VALUE"""),45996.0)</f>
        <v>45996</v>
      </c>
      <c r="X282" s="5"/>
      <c r="Y282" s="5"/>
      <c r="Z282" s="5"/>
      <c r="AA282" s="5"/>
      <c r="AB282" s="5"/>
    </row>
    <row r="283">
      <c r="B283" s="11" t="str">
        <f>Movies!C283</f>
        <v>Action, Thriller</v>
      </c>
      <c r="C283" s="11" t="str">
        <f>IFERROR(__xludf.DUMMYFUNCTION("IF(ISBLANK(B283) = TRUE, ARRAYFORMULA(TRIM(SPLIT(B283, "",""))), """")"),"")</f>
        <v/>
      </c>
      <c r="J283" s="58"/>
      <c r="W283" s="51">
        <f>IFERROR(__xludf.DUMMYFUNCTION("""COMPUTED_VALUE"""),46003.0)</f>
        <v>46003</v>
      </c>
      <c r="X283" s="5"/>
      <c r="Y283" s="5"/>
      <c r="Z283" s="5"/>
      <c r="AA283" s="5"/>
      <c r="AB283" s="5"/>
    </row>
    <row r="284">
      <c r="B284" s="11" t="str">
        <f>Movies!C284</f>
        <v>Comedy, Family, Fantasy</v>
      </c>
      <c r="C284" s="11" t="str">
        <f>IFERROR(__xludf.DUMMYFUNCTION("IF(ISBLANK(B284) = TRUE, ARRAYFORMULA(TRIM(SPLIT(B284, "",""))), """")"),"")</f>
        <v/>
      </c>
      <c r="J284" s="58"/>
      <c r="W284" s="51">
        <f>IFERROR(__xludf.DUMMYFUNCTION("""COMPUTED_VALUE"""),46010.0)</f>
        <v>46010</v>
      </c>
      <c r="X284" s="5"/>
      <c r="Y284" s="5"/>
      <c r="Z284" s="5"/>
      <c r="AA284" s="5"/>
      <c r="AB284" s="5"/>
    </row>
    <row r="285">
      <c r="B285" s="11" t="str">
        <f>Movies!C285</f>
        <v>Animation, Short</v>
      </c>
      <c r="C285" s="11" t="str">
        <f>IFERROR(__xludf.DUMMYFUNCTION("IF(ISBLANK(B285) = TRUE, ARRAYFORMULA(TRIM(SPLIT(B285, "",""))), """")"),"")</f>
        <v/>
      </c>
      <c r="J285" s="58"/>
      <c r="W285" s="51">
        <f>IFERROR(__xludf.DUMMYFUNCTION("""COMPUTED_VALUE"""),46016.0)</f>
        <v>46016</v>
      </c>
      <c r="X285" s="5"/>
      <c r="Y285" s="5"/>
      <c r="Z285" s="5"/>
      <c r="AA285" s="5"/>
      <c r="AB285" s="5"/>
    </row>
    <row r="286">
      <c r="B286" s="11" t="str">
        <f>Movies!C286</f>
        <v>Action, Fantasy, Thriller</v>
      </c>
      <c r="C286" s="11" t="str">
        <f>IFERROR(__xludf.DUMMYFUNCTION("IF(ISBLANK(B286) = TRUE, ARRAYFORMULA(TRIM(SPLIT(B286, "",""))), """")"),"")</f>
        <v/>
      </c>
      <c r="J286" s="58"/>
      <c r="W286" s="51">
        <f>IFERROR(__xludf.DUMMYFUNCTION("""COMPUTED_VALUE"""),46038.0)</f>
        <v>46038</v>
      </c>
      <c r="X286" s="5"/>
      <c r="Y286" s="5"/>
      <c r="Z286" s="5"/>
      <c r="AA286" s="5"/>
      <c r="AB286" s="5"/>
    </row>
    <row r="287">
      <c r="B287" s="11" t="str">
        <f>Movies!C287</f>
        <v>Action, Adventure, Comedy</v>
      </c>
      <c r="C287" s="11" t="str">
        <f>IFERROR(__xludf.DUMMYFUNCTION("IF(ISBLANK(B287) = TRUE, ARRAYFORMULA(TRIM(SPLIT(B287, "",""))), """")"),"")</f>
        <v/>
      </c>
      <c r="J287" s="58"/>
      <c r="W287" s="51">
        <f>IFERROR(__xludf.DUMMYFUNCTION("""COMPUTED_VALUE"""),46052.0)</f>
        <v>46052</v>
      </c>
      <c r="X287" s="5"/>
      <c r="Y287" s="5"/>
      <c r="Z287" s="5"/>
      <c r="AA287" s="5"/>
      <c r="AB287" s="5"/>
    </row>
    <row r="288">
      <c r="B288" s="11" t="str">
        <f>Movies!C288</f>
        <v>Drama, Horror, Sci-Fi</v>
      </c>
      <c r="C288" s="11" t="str">
        <f>IFERROR(__xludf.DUMMYFUNCTION("IF(ISBLANK(B288) = TRUE, ARRAYFORMULA(TRIM(SPLIT(B288, "",""))), """")"),"")</f>
        <v/>
      </c>
      <c r="J288" s="58"/>
      <c r="W288" s="51">
        <f>IFERROR(__xludf.DUMMYFUNCTION("""COMPUTED_VALUE"""),46066.0)</f>
        <v>46066</v>
      </c>
      <c r="X288" s="5"/>
      <c r="Y288" s="5"/>
      <c r="Z288" s="5"/>
      <c r="AA288" s="5"/>
      <c r="AB288" s="5"/>
    </row>
    <row r="289">
      <c r="B289" s="11" t="str">
        <f>Movies!C289</f>
        <v>Comedy, Drama, Romance</v>
      </c>
      <c r="C289" s="11" t="str">
        <f>IFERROR(__xludf.DUMMYFUNCTION("IF(ISBLANK(B289) = TRUE, ARRAYFORMULA(TRIM(SPLIT(B289, "",""))), """")"),"")</f>
        <v/>
      </c>
      <c r="J289" s="58"/>
      <c r="W289" s="51">
        <f>IFERROR(__xludf.DUMMYFUNCTION("""COMPUTED_VALUE"""),46101.0)</f>
        <v>46101</v>
      </c>
      <c r="X289" s="5"/>
      <c r="Y289" s="5"/>
      <c r="Z289" s="5"/>
      <c r="AA289" s="5"/>
      <c r="AB289" s="5"/>
    </row>
    <row r="290">
      <c r="B290" s="11" t="str">
        <f>Movies!C290</f>
        <v/>
      </c>
      <c r="C290" s="11" t="str">
        <f>IFERROR(__xludf.DUMMYFUNCTION("IF(ISBLANK(B290) = TRUE, ARRAYFORMULA(TRIM(SPLIT(B290, "",""))), """")"),"#VALUE!")</f>
        <v>#VALUE!</v>
      </c>
      <c r="J290" s="58"/>
      <c r="W290" s="51">
        <f>IFERROR(__xludf.DUMMYFUNCTION("""COMPUTED_VALUE"""),46113.0)</f>
        <v>46113</v>
      </c>
      <c r="X290" s="5"/>
      <c r="Y290" s="5"/>
      <c r="Z290" s="5"/>
      <c r="AA290" s="5"/>
      <c r="AB290" s="5"/>
    </row>
    <row r="291">
      <c r="B291" s="11" t="str">
        <f>Movies!C291</f>
        <v>Horror, Mystery, Thriller</v>
      </c>
      <c r="C291" s="11" t="str">
        <f>IFERROR(__xludf.DUMMYFUNCTION("IF(ISBLANK(B291) = TRUE, ARRAYFORMULA(TRIM(SPLIT(B291, "",""))), """")"),"")</f>
        <v/>
      </c>
      <c r="J291" s="58"/>
      <c r="W291" s="51">
        <f>IFERROR(__xludf.DUMMYFUNCTION("""COMPUTED_VALUE"""),46150.0)</f>
        <v>46150</v>
      </c>
      <c r="X291" s="5"/>
      <c r="Y291" s="5"/>
      <c r="Z291" s="5"/>
      <c r="AA291" s="5"/>
      <c r="AB291" s="5"/>
    </row>
    <row r="292">
      <c r="B292" s="11" t="str">
        <f>Movies!C292</f>
        <v>Horror, Thriller</v>
      </c>
      <c r="C292" s="11" t="str">
        <f>IFERROR(__xludf.DUMMYFUNCTION("IF(ISBLANK(B292) = TRUE, ARRAYFORMULA(TRIM(SPLIT(B292, "",""))), """")"),"")</f>
        <v/>
      </c>
      <c r="J292" s="58"/>
      <c r="W292" s="51">
        <f>IFERROR(__xludf.DUMMYFUNCTION("""COMPUTED_VALUE"""),46154.0)</f>
        <v>46154</v>
      </c>
      <c r="X292" s="5"/>
      <c r="Y292" s="5"/>
      <c r="Z292" s="5"/>
      <c r="AA292" s="5"/>
      <c r="AB292" s="5"/>
    </row>
    <row r="293">
      <c r="B293" s="11" t="str">
        <f>Movies!C293</f>
        <v>Drama, Sport</v>
      </c>
      <c r="C293" s="11" t="str">
        <f>IFERROR(__xludf.DUMMYFUNCTION("IF(ISBLANK(B293) = TRUE, ARRAYFORMULA(TRIM(SPLIT(B293, "",""))), """")"),"")</f>
        <v/>
      </c>
      <c r="J293" s="58"/>
      <c r="W293" s="51">
        <f>IFERROR(__xludf.DUMMYFUNCTION("""COMPUTED_VALUE"""),46157.0)</f>
        <v>46157</v>
      </c>
      <c r="X293" s="5"/>
      <c r="Y293" s="5"/>
      <c r="Z293" s="5"/>
      <c r="AA293" s="5"/>
      <c r="AB293" s="5"/>
    </row>
    <row r="294">
      <c r="B294" s="11" t="str">
        <f>Movies!C294</f>
        <v>Action, Adventure, Comedy</v>
      </c>
      <c r="C294" s="11" t="str">
        <f>IFERROR(__xludf.DUMMYFUNCTION("IF(ISBLANK(B294) = TRUE, ARRAYFORMULA(TRIM(SPLIT(B294, "",""))), """")"),"")</f>
        <v/>
      </c>
      <c r="J294" s="58"/>
      <c r="W294" s="51">
        <f>IFERROR(__xludf.DUMMYFUNCTION("""COMPUTED_VALUE"""),46162.0)</f>
        <v>46162</v>
      </c>
      <c r="X294" s="5"/>
      <c r="Y294" s="5"/>
      <c r="Z294" s="5"/>
      <c r="AA294" s="5"/>
      <c r="AB294" s="5"/>
    </row>
    <row r="295">
      <c r="B295" s="11" t="str">
        <f>Movies!C295</f>
        <v>Horror, Mystery, Thriller</v>
      </c>
      <c r="C295" s="11" t="str">
        <f>IFERROR(__xludf.DUMMYFUNCTION("IF(ISBLANK(B295) = TRUE, ARRAYFORMULA(TRIM(SPLIT(B295, "",""))), """")"),"")</f>
        <v/>
      </c>
      <c r="J295" s="58"/>
      <c r="W295" s="51">
        <f>IFERROR(__xludf.DUMMYFUNCTION("""COMPUTED_VALUE"""),46171.0)</f>
        <v>46171</v>
      </c>
      <c r="X295" s="5"/>
      <c r="Y295" s="5"/>
      <c r="Z295" s="5"/>
      <c r="AA295" s="5"/>
      <c r="AB295" s="5"/>
    </row>
    <row r="296">
      <c r="B296" s="11" t="str">
        <f>Movies!C296</f>
        <v>Adventure, Family, Fantasy</v>
      </c>
      <c r="C296" s="11" t="str">
        <f>IFERROR(__xludf.DUMMYFUNCTION("IF(ISBLANK(B296) = TRUE, ARRAYFORMULA(TRIM(SPLIT(B296, "",""))), """")"),"")</f>
        <v/>
      </c>
      <c r="J296" s="58"/>
      <c r="W296" s="51">
        <f>IFERROR(__xludf.DUMMYFUNCTION("""COMPUTED_VALUE"""),46185.0)</f>
        <v>46185</v>
      </c>
      <c r="X296" s="5"/>
      <c r="Y296" s="5"/>
      <c r="Z296" s="5"/>
      <c r="AA296" s="5"/>
      <c r="AB296" s="5"/>
    </row>
    <row r="297">
      <c r="B297" s="11" t="str">
        <f>Movies!C297</f>
        <v>Action, Adventure, Sci-Fi</v>
      </c>
      <c r="C297" s="11" t="str">
        <f>IFERROR(__xludf.DUMMYFUNCTION("IF(ISBLANK(B297) = TRUE, ARRAYFORMULA(TRIM(SPLIT(B297, "",""))), """")"),"")</f>
        <v/>
      </c>
      <c r="J297" s="58"/>
      <c r="W297" s="51"/>
      <c r="X297" s="5"/>
      <c r="Y297" s="5"/>
      <c r="Z297" s="5"/>
      <c r="AA297" s="5"/>
      <c r="AB297" s="5"/>
    </row>
    <row r="298">
      <c r="B298" s="11" t="str">
        <f>Movies!C298</f>
        <v>Adventure, Comedy, Horror</v>
      </c>
      <c r="C298" s="11" t="str">
        <f>IFERROR(__xludf.DUMMYFUNCTION("IF(ISBLANK(B298) = TRUE, ARRAYFORMULA(TRIM(SPLIT(B298, "",""))), """")"),"")</f>
        <v/>
      </c>
      <c r="J298" s="58"/>
      <c r="W298" s="51"/>
      <c r="X298" s="5"/>
      <c r="Y298" s="5"/>
      <c r="Z298" s="5"/>
      <c r="AA298" s="5"/>
      <c r="AB298" s="5"/>
    </row>
    <row r="299">
      <c r="B299" s="11" t="str">
        <f>Movies!C299</f>
        <v>Action, Adventure, Sci-Fi</v>
      </c>
      <c r="C299" s="11" t="str">
        <f>IFERROR(__xludf.DUMMYFUNCTION("IF(ISBLANK(B299) = TRUE, ARRAYFORMULA(TRIM(SPLIT(B299, "",""))), """")"),"")</f>
        <v/>
      </c>
      <c r="J299" s="58"/>
      <c r="W299" s="51"/>
      <c r="X299" s="5"/>
      <c r="Y299" s="5"/>
      <c r="Z299" s="5"/>
      <c r="AA299" s="5"/>
      <c r="AB299" s="5"/>
    </row>
    <row r="300">
      <c r="B300" s="11" t="str">
        <f>Movies!C300</f>
        <v>Action, Adventure, Horror</v>
      </c>
      <c r="C300" s="11" t="str">
        <f>IFERROR(__xludf.DUMMYFUNCTION("IF(ISBLANK(B300) = TRUE, ARRAYFORMULA(TRIM(SPLIT(B300, "",""))), """")"),"")</f>
        <v/>
      </c>
      <c r="J300" s="58"/>
      <c r="W300" s="51"/>
      <c r="X300" s="5"/>
      <c r="Y300" s="5"/>
      <c r="Z300" s="5"/>
      <c r="AA300" s="5"/>
      <c r="AB300" s="5"/>
    </row>
    <row r="301">
      <c r="B301" s="11" t="str">
        <f>Movies!C301</f>
        <v>Horror, Sci-Fi, Thriller</v>
      </c>
      <c r="C301" s="11" t="str">
        <f>IFERROR(__xludf.DUMMYFUNCTION("IF(ISBLANK(B301) = TRUE, ARRAYFORMULA(TRIM(SPLIT(B301, "",""))), """")"),"")</f>
        <v/>
      </c>
      <c r="J301" s="58"/>
      <c r="W301" s="51"/>
      <c r="X301" s="5"/>
      <c r="Y301" s="5"/>
      <c r="Z301" s="5"/>
      <c r="AA301" s="5"/>
      <c r="AB301" s="5"/>
    </row>
    <row r="302">
      <c r="B302" s="11" t="str">
        <f>Movies!C302</f>
        <v>Action, Thriller</v>
      </c>
      <c r="C302" s="11" t="str">
        <f>IFERROR(__xludf.DUMMYFUNCTION("IF(ISBLANK(B302) = TRUE, ARRAYFORMULA(TRIM(SPLIT(B302, "",""))), """")"),"")</f>
        <v/>
      </c>
      <c r="J302" s="58"/>
      <c r="W302" s="51"/>
      <c r="X302" s="5"/>
      <c r="Y302" s="5"/>
      <c r="Z302" s="5"/>
      <c r="AA302" s="5"/>
      <c r="AB302" s="5"/>
    </row>
    <row r="303">
      <c r="B303" s="11" t="str">
        <f>Movies!C303</f>
        <v>Action, Adventure, Sci-Fi</v>
      </c>
      <c r="C303" s="11" t="str">
        <f>IFERROR(__xludf.DUMMYFUNCTION("IF(ISBLANK(B303) = TRUE, ARRAYFORMULA(TRIM(SPLIT(B303, "",""))), """")"),"")</f>
        <v/>
      </c>
      <c r="J303" s="58"/>
      <c r="W303" s="51"/>
      <c r="X303" s="5"/>
      <c r="Y303" s="5"/>
      <c r="Z303" s="5"/>
      <c r="AA303" s="5"/>
      <c r="AB303" s="5"/>
    </row>
    <row r="304">
      <c r="B304" s="11" t="str">
        <f>Movies!C304</f>
        <v>Action, Adventure, Comedy</v>
      </c>
      <c r="C304" s="11" t="str">
        <f>IFERROR(__xludf.DUMMYFUNCTION("IF(ISBLANK(B304) = TRUE, ARRAYFORMULA(TRIM(SPLIT(B304, "",""))), """")"),"")</f>
        <v/>
      </c>
      <c r="J304" s="58"/>
      <c r="W304" s="51"/>
      <c r="X304" s="5"/>
      <c r="Y304" s="5"/>
      <c r="Z304" s="5"/>
      <c r="AA304" s="5"/>
      <c r="AB304" s="5"/>
    </row>
    <row r="305">
      <c r="B305" s="11" t="str">
        <f>Movies!C305</f>
        <v>Action, Adventure, Sci-Fi</v>
      </c>
      <c r="C305" s="11" t="str">
        <f>IFERROR(__xludf.DUMMYFUNCTION("IF(ISBLANK(B305) = TRUE, ARRAYFORMULA(TRIM(SPLIT(B305, "",""))), """")"),"")</f>
        <v/>
      </c>
      <c r="J305" s="58"/>
      <c r="W305" s="51"/>
      <c r="X305" s="5"/>
      <c r="Y305" s="5"/>
      <c r="Z305" s="5"/>
      <c r="AA305" s="5"/>
      <c r="AB305" s="5"/>
    </row>
    <row r="306">
      <c r="B306" s="11" t="str">
        <f>Movies!C306</f>
        <v>Action, Crime, Drama</v>
      </c>
      <c r="C306" s="11" t="str">
        <f>IFERROR(__xludf.DUMMYFUNCTION("IF(ISBLANK(B306) = TRUE, ARRAYFORMULA(TRIM(SPLIT(B306, "",""))), """")"),"")</f>
        <v/>
      </c>
      <c r="J306" s="58"/>
      <c r="W306" s="51"/>
      <c r="X306" s="5"/>
      <c r="Y306" s="5"/>
      <c r="Z306" s="5"/>
      <c r="AA306" s="5"/>
      <c r="AB306" s="5"/>
    </row>
    <row r="307">
      <c r="B307" s="11" t="str">
        <f>Movies!C307</f>
        <v>Action, Crime, Mystery</v>
      </c>
      <c r="C307" s="11" t="str">
        <f>IFERROR(__xludf.DUMMYFUNCTION("IF(ISBLANK(B307) = TRUE, ARRAYFORMULA(TRIM(SPLIT(B307, "",""))), """")"),"")</f>
        <v/>
      </c>
      <c r="J307" s="58"/>
      <c r="W307" s="51"/>
      <c r="X307" s="5"/>
      <c r="Y307" s="5"/>
      <c r="Z307" s="5"/>
      <c r="AA307" s="5"/>
      <c r="AB307" s="5"/>
    </row>
    <row r="308">
      <c r="B308" s="11" t="str">
        <f>Movies!C308</f>
        <v>Horror, Fantasy</v>
      </c>
      <c r="C308" s="11" t="str">
        <f>IFERROR(__xludf.DUMMYFUNCTION("IF(ISBLANK(B308) = TRUE, ARRAYFORMULA(TRIM(SPLIT(B308, "",""))), """")"),"")</f>
        <v/>
      </c>
      <c r="J308" s="58"/>
      <c r="W308" s="51"/>
      <c r="X308" s="5"/>
      <c r="Y308" s="5"/>
      <c r="Z308" s="5"/>
      <c r="AA308" s="5"/>
      <c r="AB308" s="5"/>
    </row>
    <row r="309">
      <c r="B309" s="11" t="str">
        <f>Movies!C309</f>
        <v>Drama, Fantasy, Horror</v>
      </c>
      <c r="C309" s="11" t="str">
        <f>IFERROR(__xludf.DUMMYFUNCTION("IF(ISBLANK(B309) = TRUE, ARRAYFORMULA(TRIM(SPLIT(B309, "",""))), """")"),"")</f>
        <v/>
      </c>
      <c r="J309" s="58"/>
      <c r="W309" s="51"/>
      <c r="X309" s="5"/>
      <c r="Y309" s="5"/>
      <c r="Z309" s="5"/>
      <c r="AA309" s="5"/>
      <c r="AB309" s="5"/>
    </row>
    <row r="310">
      <c r="B310" s="11" t="str">
        <f>Movies!C310</f>
        <v>Drama, Horror, Thriller</v>
      </c>
      <c r="C310" s="11" t="str">
        <f>IFERROR(__xludf.DUMMYFUNCTION("IF(ISBLANK(B310) = TRUE, ARRAYFORMULA(TRIM(SPLIT(B310, "",""))), """")"),"")</f>
        <v/>
      </c>
      <c r="J310" s="58"/>
      <c r="W310" s="51"/>
      <c r="X310" s="5"/>
      <c r="Y310" s="5"/>
      <c r="Z310" s="5"/>
      <c r="AA310" s="5"/>
      <c r="AB310" s="5"/>
    </row>
    <row r="311">
      <c r="B311" s="11" t="str">
        <f>Movies!C311</f>
        <v>Thriller</v>
      </c>
      <c r="C311" s="11" t="str">
        <f>IFERROR(__xludf.DUMMYFUNCTION("IF(ISBLANK(B311) = TRUE, ARRAYFORMULA(TRIM(SPLIT(B311, "",""))), """")"),"")</f>
        <v/>
      </c>
      <c r="J311" s="58"/>
      <c r="W311" s="51"/>
      <c r="X311" s="5"/>
      <c r="Y311" s="5"/>
      <c r="Z311" s="5"/>
      <c r="AA311" s="5"/>
      <c r="AB311" s="5"/>
    </row>
    <row r="312">
      <c r="B312" s="11" t="str">
        <f>Movies!C312</f>
        <v/>
      </c>
      <c r="C312" s="11" t="str">
        <f>IFERROR(__xludf.DUMMYFUNCTION("IF(ISBLANK(B312) = TRUE, ARRAYFORMULA(TRIM(SPLIT(B312, "",""))), """")"),"#VALUE!")</f>
        <v>#VALUE!</v>
      </c>
      <c r="J312" s="58"/>
      <c r="W312" s="51"/>
      <c r="X312" s="5"/>
      <c r="Y312" s="5"/>
      <c r="Z312" s="5"/>
      <c r="AA312" s="5"/>
      <c r="AB312" s="5"/>
    </row>
    <row r="313">
      <c r="B313" s="11" t="str">
        <f>Movies!C313</f>
        <v/>
      </c>
      <c r="C313" s="11" t="str">
        <f>IFERROR(__xludf.DUMMYFUNCTION("IF(ISBLANK(B313) = TRUE, ARRAYFORMULA(TRIM(SPLIT(B313, "",""))), """")"),"#VALUE!")</f>
        <v>#VALUE!</v>
      </c>
      <c r="J313" s="58"/>
      <c r="W313" s="51"/>
      <c r="X313" s="5"/>
      <c r="Y313" s="5"/>
      <c r="Z313" s="5"/>
      <c r="AA313" s="5"/>
      <c r="AB313" s="5"/>
    </row>
    <row r="314">
      <c r="B314" s="11" t="str">
        <f>Movies!C314</f>
        <v/>
      </c>
      <c r="C314" s="11" t="str">
        <f>IFERROR(__xludf.DUMMYFUNCTION("IF(ISBLANK(B314) = TRUE, ARRAYFORMULA(TRIM(SPLIT(B314, "",""))), """")"),"#VALUE!")</f>
        <v>#VALUE!</v>
      </c>
      <c r="J314" s="58"/>
      <c r="W314" s="51"/>
      <c r="X314" s="5"/>
      <c r="Y314" s="5"/>
      <c r="Z314" s="5"/>
      <c r="AA314" s="5"/>
      <c r="AB314" s="5"/>
    </row>
    <row r="315">
      <c r="B315" s="11" t="str">
        <f>Movies!C315</f>
        <v/>
      </c>
      <c r="C315" s="11" t="str">
        <f>IFERROR(__xludf.DUMMYFUNCTION("IF(ISBLANK(B315) = TRUE, ARRAYFORMULA(TRIM(SPLIT(B315, "",""))), """")"),"#VALUE!")</f>
        <v>#VALUE!</v>
      </c>
      <c r="J315" s="58"/>
      <c r="W315" s="51"/>
      <c r="X315" s="5"/>
      <c r="Y315" s="5"/>
      <c r="Z315" s="5"/>
      <c r="AA315" s="5"/>
      <c r="AB315" s="5"/>
    </row>
    <row r="316">
      <c r="B316" s="11" t="str">
        <f>Movies!C316</f>
        <v/>
      </c>
      <c r="C316" s="11" t="str">
        <f>IFERROR(__xludf.DUMMYFUNCTION("IF(ISBLANK(B316) = TRUE, ARRAYFORMULA(TRIM(SPLIT(B316, "",""))), """")"),"#VALUE!")</f>
        <v>#VALUE!</v>
      </c>
      <c r="J316" s="58"/>
      <c r="W316" s="51"/>
      <c r="X316" s="5"/>
      <c r="Y316" s="5"/>
      <c r="Z316" s="5"/>
      <c r="AA316" s="5"/>
      <c r="AB316" s="5"/>
    </row>
    <row r="317">
      <c r="B317" s="11" t="str">
        <f>Movies!C317</f>
        <v/>
      </c>
      <c r="C317" s="11" t="str">
        <f>IFERROR(__xludf.DUMMYFUNCTION("IF(ISBLANK(B317) = TRUE, ARRAYFORMULA(TRIM(SPLIT(B317, "",""))), """")"),"#VALUE!")</f>
        <v>#VALUE!</v>
      </c>
      <c r="J317" s="58"/>
      <c r="W317" s="51"/>
      <c r="X317" s="5"/>
      <c r="Y317" s="5"/>
      <c r="Z317" s="5"/>
      <c r="AA317" s="5"/>
      <c r="AB317" s="5"/>
    </row>
    <row r="318">
      <c r="B318" s="11" t="str">
        <f>Movies!C318</f>
        <v/>
      </c>
      <c r="C318" s="11" t="str">
        <f>IFERROR(__xludf.DUMMYFUNCTION("IF(ISBLANK(B318) = TRUE, ARRAYFORMULA(TRIM(SPLIT(B318, "",""))), """")"),"#VALUE!")</f>
        <v>#VALUE!</v>
      </c>
      <c r="J318" s="58"/>
      <c r="W318" s="51"/>
      <c r="X318" s="5"/>
      <c r="Y318" s="5"/>
      <c r="Z318" s="5"/>
      <c r="AA318" s="5"/>
      <c r="AB318" s="5"/>
    </row>
    <row r="319">
      <c r="B319" s="11" t="str">
        <f>Movies!C319</f>
        <v/>
      </c>
      <c r="C319" s="11" t="str">
        <f>IFERROR(__xludf.DUMMYFUNCTION("IF(ISBLANK(B319) = TRUE, ARRAYFORMULA(TRIM(SPLIT(B319, "",""))), """")"),"#VALUE!")</f>
        <v>#VALUE!</v>
      </c>
      <c r="J319" s="58"/>
      <c r="W319" s="51"/>
      <c r="X319" s="5"/>
      <c r="Y319" s="5"/>
      <c r="Z319" s="5"/>
      <c r="AA319" s="5"/>
      <c r="AB319" s="5"/>
    </row>
    <row r="320">
      <c r="B320" s="11" t="str">
        <f>Movies!C320</f>
        <v/>
      </c>
      <c r="C320" s="11" t="str">
        <f>IFERROR(__xludf.DUMMYFUNCTION("IF(ISBLANK(B320) = TRUE, ARRAYFORMULA(TRIM(SPLIT(B320, "",""))), """")"),"#VALUE!")</f>
        <v>#VALUE!</v>
      </c>
      <c r="J320" s="58"/>
      <c r="W320" s="51"/>
      <c r="X320" s="5"/>
      <c r="Y320" s="5"/>
      <c r="Z320" s="5"/>
      <c r="AA320" s="5"/>
      <c r="AB320" s="5"/>
    </row>
    <row r="321">
      <c r="B321" s="11" t="str">
        <f>Movies!C321</f>
        <v/>
      </c>
      <c r="C321" s="11" t="str">
        <f>IFERROR(__xludf.DUMMYFUNCTION("IF(ISBLANK(B321) = TRUE, ARRAYFORMULA(TRIM(SPLIT(B321, "",""))), """")"),"#VALUE!")</f>
        <v>#VALUE!</v>
      </c>
      <c r="J321" s="58"/>
      <c r="W321" s="51"/>
      <c r="X321" s="5"/>
      <c r="Y321" s="5"/>
      <c r="Z321" s="5"/>
      <c r="AA321" s="5"/>
      <c r="AB321" s="5"/>
    </row>
    <row r="322">
      <c r="B322" s="11" t="str">
        <f>Movies!C322</f>
        <v/>
      </c>
      <c r="C322" s="11" t="str">
        <f>IFERROR(__xludf.DUMMYFUNCTION("IF(ISBLANK(B322) = TRUE, ARRAYFORMULA(TRIM(SPLIT(B322, "",""))), """")"),"#VALUE!")</f>
        <v>#VALUE!</v>
      </c>
      <c r="J322" s="58"/>
      <c r="W322" s="51"/>
      <c r="X322" s="5"/>
      <c r="Y322" s="5"/>
      <c r="Z322" s="5"/>
      <c r="AA322" s="5"/>
      <c r="AB322" s="5"/>
    </row>
    <row r="323">
      <c r="B323" s="11" t="str">
        <f>Movies!C323</f>
        <v/>
      </c>
      <c r="C323" s="11" t="str">
        <f>IFERROR(__xludf.DUMMYFUNCTION("IF(ISBLANK(B323) = TRUE, ARRAYFORMULA(TRIM(SPLIT(B323, "",""))), """")"),"#VALUE!")</f>
        <v>#VALUE!</v>
      </c>
      <c r="J323" s="58"/>
      <c r="W323" s="51"/>
      <c r="X323" s="5"/>
      <c r="Y323" s="5"/>
      <c r="Z323" s="5"/>
      <c r="AA323" s="5"/>
      <c r="AB323" s="5"/>
    </row>
    <row r="324">
      <c r="B324" s="11" t="str">
        <f>Movies!C324</f>
        <v/>
      </c>
      <c r="C324" s="11" t="str">
        <f>IFERROR(__xludf.DUMMYFUNCTION("IF(ISBLANK(B324) = TRUE, ARRAYFORMULA(TRIM(SPLIT(B324, "",""))), """")"),"#VALUE!")</f>
        <v>#VALUE!</v>
      </c>
      <c r="J324" s="58"/>
      <c r="W324" s="51"/>
      <c r="X324" s="5"/>
      <c r="Y324" s="5"/>
      <c r="Z324" s="5"/>
      <c r="AA324" s="5"/>
      <c r="AB324" s="5"/>
    </row>
    <row r="325">
      <c r="B325" s="11" t="str">
        <f>Movies!C325</f>
        <v/>
      </c>
      <c r="C325" s="11" t="str">
        <f>IFERROR(__xludf.DUMMYFUNCTION("IF(ISBLANK(B325) = TRUE, ARRAYFORMULA(TRIM(SPLIT(B325, "",""))), """")"),"#VALUE!")</f>
        <v>#VALUE!</v>
      </c>
      <c r="J325" s="58"/>
      <c r="W325" s="51"/>
      <c r="X325" s="5"/>
      <c r="Y325" s="5"/>
      <c r="Z325" s="5"/>
      <c r="AA325" s="5"/>
      <c r="AB325" s="5"/>
    </row>
    <row r="326">
      <c r="B326" s="11" t="str">
        <f>Movies!C326</f>
        <v/>
      </c>
      <c r="C326" s="11" t="str">
        <f>IFERROR(__xludf.DUMMYFUNCTION("IF(ISBLANK(B326) = TRUE, ARRAYFORMULA(TRIM(SPLIT(B326, "",""))), """")"),"#VALUE!")</f>
        <v>#VALUE!</v>
      </c>
      <c r="J326" s="58"/>
      <c r="W326" s="51"/>
      <c r="X326" s="5"/>
      <c r="Y326" s="5"/>
      <c r="Z326" s="5"/>
      <c r="AA326" s="5"/>
      <c r="AB326" s="5"/>
    </row>
    <row r="327">
      <c r="B327" s="11" t="str">
        <f>Movies!C327</f>
        <v/>
      </c>
      <c r="C327" s="11" t="str">
        <f>IFERROR(__xludf.DUMMYFUNCTION("IF(ISBLANK(B327) = TRUE, ARRAYFORMULA(TRIM(SPLIT(B327, "",""))), """")"),"#VALUE!")</f>
        <v>#VALUE!</v>
      </c>
      <c r="J327" s="58"/>
      <c r="W327" s="51"/>
      <c r="X327" s="5"/>
      <c r="Y327" s="5"/>
      <c r="Z327" s="5"/>
      <c r="AA327" s="5"/>
      <c r="AB327" s="5"/>
    </row>
    <row r="328">
      <c r="B328" s="11" t="str">
        <f>Movies!C328</f>
        <v/>
      </c>
      <c r="C328" s="11" t="str">
        <f>IFERROR(__xludf.DUMMYFUNCTION("IF(ISBLANK(B328) = TRUE, ARRAYFORMULA(TRIM(SPLIT(B328, "",""))), """")"),"#VALUE!")</f>
        <v>#VALUE!</v>
      </c>
      <c r="J328" s="58"/>
      <c r="W328" s="51"/>
      <c r="X328" s="5"/>
      <c r="Y328" s="5"/>
      <c r="Z328" s="5"/>
      <c r="AA328" s="5"/>
      <c r="AB328" s="5"/>
    </row>
    <row r="329">
      <c r="B329" s="11" t="str">
        <f>Movies!C329</f>
        <v/>
      </c>
      <c r="C329" s="11" t="str">
        <f>IFERROR(__xludf.DUMMYFUNCTION("IF(ISBLANK(B329) = TRUE, ARRAYFORMULA(TRIM(SPLIT(B329, "",""))), """")"),"#VALUE!")</f>
        <v>#VALUE!</v>
      </c>
      <c r="J329" s="58"/>
      <c r="W329" s="51"/>
      <c r="X329" s="5"/>
      <c r="Y329" s="5"/>
      <c r="Z329" s="5"/>
      <c r="AA329" s="5"/>
      <c r="AB329" s="5"/>
    </row>
    <row r="330">
      <c r="B330" s="11" t="str">
        <f>Movies!C330</f>
        <v/>
      </c>
      <c r="C330" s="11" t="str">
        <f>IFERROR(__xludf.DUMMYFUNCTION("IF(ISBLANK(B330) = TRUE, ARRAYFORMULA(TRIM(SPLIT(B330, "",""))), """")"),"#VALUE!")</f>
        <v>#VALUE!</v>
      </c>
      <c r="J330" s="58"/>
      <c r="W330" s="51"/>
      <c r="X330" s="5"/>
      <c r="Y330" s="5"/>
      <c r="Z330" s="5"/>
      <c r="AA330" s="5"/>
      <c r="AB330" s="5"/>
    </row>
    <row r="331">
      <c r="B331" s="11" t="str">
        <f>Movies!C331</f>
        <v/>
      </c>
      <c r="C331" s="11" t="str">
        <f>IFERROR(__xludf.DUMMYFUNCTION("IF(ISBLANK(B331) = TRUE, ARRAYFORMULA(TRIM(SPLIT(B331, "",""))), """")"),"#VALUE!")</f>
        <v>#VALUE!</v>
      </c>
      <c r="J331" s="58"/>
      <c r="W331" s="51"/>
      <c r="X331" s="5"/>
      <c r="Y331" s="5"/>
      <c r="Z331" s="5"/>
      <c r="AA331" s="5"/>
      <c r="AB331" s="5"/>
    </row>
    <row r="332">
      <c r="B332" s="11" t="str">
        <f>Movies!C332</f>
        <v/>
      </c>
      <c r="C332" s="11" t="str">
        <f>IFERROR(__xludf.DUMMYFUNCTION("IF(ISBLANK(B332) = TRUE, ARRAYFORMULA(TRIM(SPLIT(B332, "",""))), """")"),"#VALUE!")</f>
        <v>#VALUE!</v>
      </c>
      <c r="J332" s="58"/>
      <c r="W332" s="51"/>
      <c r="X332" s="5"/>
      <c r="Y332" s="5"/>
      <c r="Z332" s="5"/>
      <c r="AA332" s="5"/>
      <c r="AB332" s="5"/>
    </row>
    <row r="333">
      <c r="B333" s="11" t="str">
        <f>Movies!C333</f>
        <v/>
      </c>
      <c r="C333" s="11" t="str">
        <f>IFERROR(__xludf.DUMMYFUNCTION("IF(ISBLANK(B333) = TRUE, ARRAYFORMULA(TRIM(SPLIT(B333, "",""))), """")"),"#VALUE!")</f>
        <v>#VALUE!</v>
      </c>
      <c r="J333" s="58"/>
      <c r="W333" s="51"/>
      <c r="X333" s="5"/>
      <c r="Y333" s="5"/>
      <c r="Z333" s="5"/>
      <c r="AA333" s="5"/>
      <c r="AB333" s="5"/>
    </row>
    <row r="334">
      <c r="B334" s="11" t="str">
        <f>Movies!C334</f>
        <v/>
      </c>
      <c r="C334" s="11" t="str">
        <f>IFERROR(__xludf.DUMMYFUNCTION("IF(ISBLANK(B334) = TRUE, ARRAYFORMULA(TRIM(SPLIT(B334, "",""))), """")"),"#VALUE!")</f>
        <v>#VALUE!</v>
      </c>
      <c r="J334" s="58"/>
      <c r="W334" s="51"/>
      <c r="X334" s="5"/>
      <c r="Y334" s="5"/>
      <c r="Z334" s="5"/>
      <c r="AA334" s="5"/>
      <c r="AB334" s="5"/>
    </row>
    <row r="335">
      <c r="B335" s="11" t="str">
        <f>Movies!C335</f>
        <v/>
      </c>
      <c r="C335" s="11" t="str">
        <f>IFERROR(__xludf.DUMMYFUNCTION("IF(ISBLANK(B335) = TRUE, ARRAYFORMULA(TRIM(SPLIT(B335, "",""))), """")"),"#VALUE!")</f>
        <v>#VALUE!</v>
      </c>
      <c r="J335" s="58"/>
      <c r="W335" s="51"/>
      <c r="X335" s="5"/>
      <c r="Y335" s="5"/>
      <c r="Z335" s="5"/>
      <c r="AA335" s="5"/>
      <c r="AB335" s="5"/>
    </row>
    <row r="336">
      <c r="B336" s="11" t="str">
        <f>Movies!C336</f>
        <v/>
      </c>
      <c r="C336" s="11" t="str">
        <f>IFERROR(__xludf.DUMMYFUNCTION("IF(ISBLANK(B336) = TRUE, ARRAYFORMULA(TRIM(SPLIT(B336, "",""))), """")"),"#VALUE!")</f>
        <v>#VALUE!</v>
      </c>
      <c r="J336" s="58"/>
      <c r="W336" s="51"/>
      <c r="X336" s="5"/>
      <c r="Y336" s="5"/>
      <c r="Z336" s="5"/>
      <c r="AA336" s="5"/>
      <c r="AB336" s="5"/>
    </row>
    <row r="337">
      <c r="B337" s="11" t="str">
        <f>Movies!C337</f>
        <v/>
      </c>
      <c r="C337" s="11" t="str">
        <f>IFERROR(__xludf.DUMMYFUNCTION("IF(ISBLANK(B337) = TRUE, ARRAYFORMULA(TRIM(SPLIT(B337, "",""))), """")"),"#VALUE!")</f>
        <v>#VALUE!</v>
      </c>
      <c r="J337" s="58"/>
      <c r="W337" s="51"/>
      <c r="X337" s="5"/>
      <c r="Y337" s="5"/>
      <c r="Z337" s="5"/>
      <c r="AA337" s="5"/>
      <c r="AB337" s="5"/>
    </row>
    <row r="338">
      <c r="B338" s="11" t="str">
        <f>Movies!C338</f>
        <v/>
      </c>
      <c r="C338" s="11" t="str">
        <f>IFERROR(__xludf.DUMMYFUNCTION("IF(ISBLANK(B338) = TRUE, ARRAYFORMULA(TRIM(SPLIT(B338, "",""))), """")"),"#VALUE!")</f>
        <v>#VALUE!</v>
      </c>
      <c r="J338" s="58"/>
      <c r="W338" s="51"/>
      <c r="X338" s="5"/>
      <c r="Y338" s="5"/>
      <c r="Z338" s="5"/>
      <c r="AA338" s="5"/>
      <c r="AB338" s="5"/>
    </row>
    <row r="339">
      <c r="B339" s="11" t="str">
        <f>Movies!C339</f>
        <v/>
      </c>
      <c r="C339" s="11" t="str">
        <f>IFERROR(__xludf.DUMMYFUNCTION("IF(ISBLANK(B339) = TRUE, ARRAYFORMULA(TRIM(SPLIT(B339, "",""))), """")"),"#VALUE!")</f>
        <v>#VALUE!</v>
      </c>
      <c r="J339" s="58"/>
      <c r="W339" s="51"/>
      <c r="X339" s="5"/>
      <c r="Y339" s="5"/>
      <c r="Z339" s="5"/>
      <c r="AA339" s="5"/>
      <c r="AB339" s="5"/>
    </row>
    <row r="340">
      <c r="B340" s="11" t="str">
        <f>Movies!C340</f>
        <v/>
      </c>
      <c r="C340" s="11" t="str">
        <f>IFERROR(__xludf.DUMMYFUNCTION("IF(ISBLANK(B340) = TRUE, ARRAYFORMULA(TRIM(SPLIT(B340, "",""))), """")"),"#VALUE!")</f>
        <v>#VALUE!</v>
      </c>
      <c r="J340" s="58"/>
      <c r="W340" s="51"/>
      <c r="X340" s="5"/>
      <c r="Y340" s="5"/>
      <c r="Z340" s="5"/>
      <c r="AA340" s="5"/>
      <c r="AB340" s="5"/>
    </row>
    <row r="341">
      <c r="B341" s="11" t="str">
        <f>Movies!C341</f>
        <v/>
      </c>
      <c r="C341" s="11" t="str">
        <f>IFERROR(__xludf.DUMMYFUNCTION("IF(ISBLANK(B341) = TRUE, ARRAYFORMULA(TRIM(SPLIT(B341, "",""))), """")"),"#VALUE!")</f>
        <v>#VALUE!</v>
      </c>
      <c r="J341" s="58"/>
      <c r="W341" s="51"/>
      <c r="X341" s="5"/>
      <c r="Y341" s="5"/>
      <c r="Z341" s="5"/>
      <c r="AA341" s="5"/>
      <c r="AB341" s="5"/>
    </row>
    <row r="342">
      <c r="B342" s="11" t="str">
        <f>Movies!C342</f>
        <v/>
      </c>
      <c r="C342" s="11" t="str">
        <f>IFERROR(__xludf.DUMMYFUNCTION("IF(ISBLANK(B342) = TRUE, ARRAYFORMULA(TRIM(SPLIT(B342, "",""))), """")"),"#VALUE!")</f>
        <v>#VALUE!</v>
      </c>
      <c r="J342" s="58"/>
      <c r="W342" s="51"/>
      <c r="X342" s="5"/>
      <c r="Y342" s="5"/>
      <c r="Z342" s="5"/>
      <c r="AA342" s="5"/>
      <c r="AB342" s="5"/>
    </row>
    <row r="343">
      <c r="B343" s="11" t="str">
        <f>Movies!C343</f>
        <v/>
      </c>
      <c r="C343" s="11" t="str">
        <f>IFERROR(__xludf.DUMMYFUNCTION("IF(ISBLANK(B343) = TRUE, ARRAYFORMULA(TRIM(SPLIT(B343, "",""))), """")"),"#VALUE!")</f>
        <v>#VALUE!</v>
      </c>
      <c r="J343" s="58"/>
      <c r="W343" s="51"/>
      <c r="X343" s="5"/>
      <c r="Y343" s="5"/>
      <c r="Z343" s="5"/>
      <c r="AA343" s="5"/>
      <c r="AB343" s="5"/>
    </row>
    <row r="344">
      <c r="B344" s="11" t="str">
        <f>Movies!C344</f>
        <v/>
      </c>
      <c r="C344" s="11" t="str">
        <f>IFERROR(__xludf.DUMMYFUNCTION("IF(ISBLANK(B344) = TRUE, ARRAYFORMULA(TRIM(SPLIT(B344, "",""))), """")"),"#VALUE!")</f>
        <v>#VALUE!</v>
      </c>
      <c r="J344" s="58"/>
      <c r="W344" s="51"/>
      <c r="X344" s="5"/>
      <c r="Y344" s="5"/>
      <c r="Z344" s="5"/>
      <c r="AA344" s="5"/>
      <c r="AB344" s="5"/>
    </row>
    <row r="345">
      <c r="B345" s="11" t="str">
        <f>Movies!C345</f>
        <v/>
      </c>
      <c r="C345" s="11" t="str">
        <f>IFERROR(__xludf.DUMMYFUNCTION("IF(ISBLANK(B345) = TRUE, ARRAYFORMULA(TRIM(SPLIT(B345, "",""))), """")"),"#VALUE!")</f>
        <v>#VALUE!</v>
      </c>
      <c r="J345" s="58"/>
      <c r="W345" s="51"/>
      <c r="X345" s="5"/>
      <c r="Y345" s="5"/>
      <c r="Z345" s="5"/>
      <c r="AA345" s="5"/>
      <c r="AB345" s="5"/>
    </row>
    <row r="346">
      <c r="B346" s="11" t="str">
        <f>Movies!C346</f>
        <v/>
      </c>
      <c r="C346" s="11" t="str">
        <f>IFERROR(__xludf.DUMMYFUNCTION("IF(ISBLANK(B346) = TRUE, ARRAYFORMULA(TRIM(SPLIT(B346, "",""))), """")"),"#VALUE!")</f>
        <v>#VALUE!</v>
      </c>
      <c r="J346" s="58"/>
      <c r="W346" s="51"/>
      <c r="X346" s="5"/>
      <c r="Y346" s="5"/>
      <c r="Z346" s="5"/>
      <c r="AA346" s="5"/>
      <c r="AB346" s="5"/>
    </row>
    <row r="347">
      <c r="B347" s="11" t="str">
        <f>Movies!C347</f>
        <v/>
      </c>
      <c r="C347" s="11" t="str">
        <f>IFERROR(__xludf.DUMMYFUNCTION("IF(ISBLANK(B347) = TRUE, ARRAYFORMULA(TRIM(SPLIT(B347, "",""))), """")"),"#VALUE!")</f>
        <v>#VALUE!</v>
      </c>
      <c r="J347" s="58"/>
      <c r="W347" s="51"/>
      <c r="X347" s="5"/>
      <c r="Y347" s="5"/>
      <c r="Z347" s="5"/>
      <c r="AA347" s="5"/>
      <c r="AB347" s="5"/>
    </row>
    <row r="348">
      <c r="B348" s="11" t="str">
        <f>Movies!C348</f>
        <v/>
      </c>
      <c r="C348" s="11" t="str">
        <f>IFERROR(__xludf.DUMMYFUNCTION("IF(ISBLANK(B348) = TRUE, ARRAYFORMULA(TRIM(SPLIT(B348, "",""))), """")"),"#VALUE!")</f>
        <v>#VALUE!</v>
      </c>
      <c r="J348" s="58"/>
      <c r="W348" s="51"/>
      <c r="X348" s="5"/>
      <c r="Y348" s="5"/>
      <c r="Z348" s="5"/>
      <c r="AA348" s="5"/>
      <c r="AB348" s="5"/>
    </row>
    <row r="349">
      <c r="B349" s="11" t="str">
        <f>Movies!C349</f>
        <v/>
      </c>
      <c r="C349" s="11" t="str">
        <f>IFERROR(__xludf.DUMMYFUNCTION("IF(ISBLANK(B349) = TRUE, ARRAYFORMULA(TRIM(SPLIT(B349, "",""))), """")"),"#VALUE!")</f>
        <v>#VALUE!</v>
      </c>
      <c r="J349" s="58"/>
      <c r="W349" s="51"/>
      <c r="X349" s="5"/>
      <c r="Y349" s="5"/>
      <c r="Z349" s="5"/>
      <c r="AA349" s="5"/>
      <c r="AB349" s="5"/>
    </row>
    <row r="350">
      <c r="B350" s="11" t="str">
        <f>Movies!C350</f>
        <v/>
      </c>
      <c r="C350" s="11" t="str">
        <f>IFERROR(__xludf.DUMMYFUNCTION("IF(ISBLANK(B350) = TRUE, ARRAYFORMULA(TRIM(SPLIT(B350, "",""))), """")"),"#VALUE!")</f>
        <v>#VALUE!</v>
      </c>
      <c r="J350" s="58"/>
      <c r="W350" s="51"/>
      <c r="X350" s="5"/>
      <c r="Y350" s="5"/>
      <c r="Z350" s="5"/>
      <c r="AA350" s="5"/>
      <c r="AB350" s="5"/>
    </row>
    <row r="351">
      <c r="B351" s="11" t="str">
        <f>Movies!C351</f>
        <v/>
      </c>
      <c r="C351" s="11" t="str">
        <f>IFERROR(__xludf.DUMMYFUNCTION("IF(ISBLANK(B351) = TRUE, ARRAYFORMULA(TRIM(SPLIT(B351, "",""))), """")"),"#VALUE!")</f>
        <v>#VALUE!</v>
      </c>
      <c r="J351" s="58"/>
      <c r="W351" s="51"/>
      <c r="X351" s="5"/>
      <c r="Y351" s="5"/>
      <c r="Z351" s="5"/>
      <c r="AA351" s="5"/>
      <c r="AB351" s="5"/>
    </row>
    <row r="352">
      <c r="B352" s="11" t="str">
        <f>Movies!C352</f>
        <v/>
      </c>
      <c r="C352" s="11" t="str">
        <f>IFERROR(__xludf.DUMMYFUNCTION("IF(ISBLANK(B352) = TRUE, ARRAYFORMULA(TRIM(SPLIT(B352, "",""))), """")"),"#VALUE!")</f>
        <v>#VALUE!</v>
      </c>
      <c r="J352" s="58"/>
      <c r="W352" s="51"/>
      <c r="X352" s="5"/>
      <c r="Y352" s="5"/>
      <c r="Z352" s="5"/>
      <c r="AA352" s="5"/>
      <c r="AB352" s="5"/>
    </row>
    <row r="353">
      <c r="B353" s="11" t="str">
        <f>Movies!C353</f>
        <v/>
      </c>
      <c r="C353" s="11" t="str">
        <f>IFERROR(__xludf.DUMMYFUNCTION("IF(ISBLANK(B353) = TRUE, ARRAYFORMULA(TRIM(SPLIT(B353, "",""))), """")"),"#VALUE!")</f>
        <v>#VALUE!</v>
      </c>
      <c r="J353" s="58"/>
      <c r="W353" s="51"/>
      <c r="X353" s="5"/>
      <c r="Y353" s="5"/>
      <c r="Z353" s="5"/>
      <c r="AA353" s="5"/>
      <c r="AB353" s="5"/>
    </row>
    <row r="354">
      <c r="B354" s="11" t="str">
        <f>Movies!C354</f>
        <v/>
      </c>
      <c r="C354" s="11" t="str">
        <f>IFERROR(__xludf.DUMMYFUNCTION("IF(ISBLANK(B354) = TRUE, ARRAYFORMULA(TRIM(SPLIT(B354, "",""))), """")"),"#VALUE!")</f>
        <v>#VALUE!</v>
      </c>
      <c r="J354" s="58"/>
      <c r="W354" s="51"/>
      <c r="X354" s="5"/>
      <c r="Y354" s="5"/>
      <c r="Z354" s="5"/>
      <c r="AA354" s="5"/>
      <c r="AB354" s="5"/>
    </row>
    <row r="355">
      <c r="B355" s="11" t="str">
        <f>Movies!C355</f>
        <v/>
      </c>
      <c r="C355" s="11" t="str">
        <f>IFERROR(__xludf.DUMMYFUNCTION("IF(ISBLANK(B355) = TRUE, ARRAYFORMULA(TRIM(SPLIT(B355, "",""))), """")"),"#VALUE!")</f>
        <v>#VALUE!</v>
      </c>
      <c r="J355" s="58"/>
      <c r="W355" s="51"/>
      <c r="X355" s="5"/>
      <c r="Y355" s="5"/>
      <c r="Z355" s="5"/>
      <c r="AA355" s="5"/>
      <c r="AB355" s="5"/>
    </row>
    <row r="356">
      <c r="B356" s="11" t="str">
        <f>Movies!C356</f>
        <v/>
      </c>
      <c r="C356" s="11" t="str">
        <f>IFERROR(__xludf.DUMMYFUNCTION("IF(ISBLANK(B356) = TRUE, ARRAYFORMULA(TRIM(SPLIT(B356, "",""))), """")"),"#VALUE!")</f>
        <v>#VALUE!</v>
      </c>
      <c r="J356" s="58"/>
      <c r="W356" s="51"/>
      <c r="X356" s="5"/>
      <c r="Y356" s="5"/>
      <c r="Z356" s="5"/>
      <c r="AA356" s="5"/>
      <c r="AB356" s="5"/>
    </row>
    <row r="357">
      <c r="B357" s="11" t="str">
        <f>Movies!C357</f>
        <v/>
      </c>
      <c r="C357" s="11" t="str">
        <f>IFERROR(__xludf.DUMMYFUNCTION("IF(ISBLANK(B357) = TRUE, ARRAYFORMULA(TRIM(SPLIT(B357, "",""))), """")"),"#VALUE!")</f>
        <v>#VALUE!</v>
      </c>
      <c r="J357" s="58"/>
      <c r="W357" s="51"/>
      <c r="X357" s="5"/>
      <c r="Y357" s="5"/>
      <c r="Z357" s="5"/>
      <c r="AA357" s="5"/>
      <c r="AB357" s="5"/>
    </row>
    <row r="358">
      <c r="B358" s="11" t="str">
        <f>Movies!C358</f>
        <v/>
      </c>
      <c r="C358" s="11" t="str">
        <f>IFERROR(__xludf.DUMMYFUNCTION("IF(ISBLANK(B358) = TRUE, ARRAYFORMULA(TRIM(SPLIT(B358, "",""))), """")"),"#VALUE!")</f>
        <v>#VALUE!</v>
      </c>
      <c r="J358" s="58"/>
      <c r="W358" s="51"/>
      <c r="X358" s="5"/>
      <c r="Y358" s="5"/>
      <c r="Z358" s="5"/>
      <c r="AA358" s="5"/>
      <c r="AB358" s="5"/>
    </row>
    <row r="359">
      <c r="B359" s="11" t="str">
        <f>Movies!C359</f>
        <v/>
      </c>
      <c r="C359" s="11" t="str">
        <f>IFERROR(__xludf.DUMMYFUNCTION("IF(ISBLANK(B359) = TRUE, ARRAYFORMULA(TRIM(SPLIT(B359, "",""))), """")"),"#VALUE!")</f>
        <v>#VALUE!</v>
      </c>
      <c r="J359" s="58"/>
      <c r="W359" s="51"/>
      <c r="X359" s="5"/>
      <c r="Y359" s="5"/>
      <c r="Z359" s="5"/>
      <c r="AA359" s="5"/>
      <c r="AB359" s="5"/>
    </row>
    <row r="360">
      <c r="B360" s="11" t="str">
        <f>Movies!C360</f>
        <v/>
      </c>
      <c r="C360" s="11" t="str">
        <f>IFERROR(__xludf.DUMMYFUNCTION("IF(ISBLANK(B360) = TRUE, ARRAYFORMULA(TRIM(SPLIT(B360, "",""))), """")"),"#VALUE!")</f>
        <v>#VALUE!</v>
      </c>
      <c r="J360" s="58"/>
      <c r="W360" s="51"/>
      <c r="X360" s="5"/>
      <c r="Y360" s="5"/>
      <c r="Z360" s="5"/>
      <c r="AA360" s="5"/>
      <c r="AB360" s="5"/>
    </row>
    <row r="361">
      <c r="B361" s="11" t="str">
        <f>Movies!C361</f>
        <v/>
      </c>
      <c r="C361" s="11" t="str">
        <f>IFERROR(__xludf.DUMMYFUNCTION("IF(ISBLANK(B361) = TRUE, ARRAYFORMULA(TRIM(SPLIT(B361, "",""))), """")"),"#VALUE!")</f>
        <v>#VALUE!</v>
      </c>
      <c r="J361" s="58"/>
      <c r="W361" s="51"/>
      <c r="X361" s="5"/>
      <c r="Y361" s="5"/>
      <c r="Z361" s="5"/>
      <c r="AA361" s="5"/>
      <c r="AB361" s="5"/>
    </row>
    <row r="362">
      <c r="B362" s="11" t="str">
        <f>Movies!C362</f>
        <v/>
      </c>
      <c r="C362" s="11" t="str">
        <f>IFERROR(__xludf.DUMMYFUNCTION("IF(ISBLANK(B362) = TRUE, ARRAYFORMULA(TRIM(SPLIT(B362, "",""))), """")"),"#VALUE!")</f>
        <v>#VALUE!</v>
      </c>
      <c r="J362" s="58"/>
      <c r="W362" s="51"/>
      <c r="X362" s="5"/>
      <c r="Y362" s="5"/>
      <c r="Z362" s="5"/>
      <c r="AA362" s="5"/>
      <c r="AB362" s="5"/>
    </row>
    <row r="363">
      <c r="B363" s="11" t="str">
        <f>Movies!C363</f>
        <v/>
      </c>
      <c r="C363" s="11" t="str">
        <f>IFERROR(__xludf.DUMMYFUNCTION("IF(ISBLANK(B363) = TRUE, ARRAYFORMULA(TRIM(SPLIT(B363, "",""))), """")"),"#VALUE!")</f>
        <v>#VALUE!</v>
      </c>
      <c r="J363" s="58"/>
      <c r="W363" s="51"/>
      <c r="X363" s="5"/>
      <c r="Y363" s="5"/>
      <c r="Z363" s="5"/>
      <c r="AA363" s="5"/>
      <c r="AB363" s="5"/>
    </row>
    <row r="364">
      <c r="B364" s="11" t="str">
        <f>Movies!C364</f>
        <v/>
      </c>
      <c r="C364" s="11" t="str">
        <f>IFERROR(__xludf.DUMMYFUNCTION("IF(ISBLANK(B364) = TRUE, ARRAYFORMULA(TRIM(SPLIT(B364, "",""))), """")"),"#VALUE!")</f>
        <v>#VALUE!</v>
      </c>
      <c r="J364" s="58"/>
      <c r="W364" s="51"/>
      <c r="X364" s="5"/>
      <c r="Y364" s="5"/>
      <c r="Z364" s="5"/>
      <c r="AA364" s="5"/>
      <c r="AB364" s="5"/>
    </row>
    <row r="365">
      <c r="B365" s="11" t="str">
        <f>Movies!C365</f>
        <v/>
      </c>
      <c r="C365" s="11" t="str">
        <f>IFERROR(__xludf.DUMMYFUNCTION("IF(ISBLANK(B365) = TRUE, ARRAYFORMULA(TRIM(SPLIT(B365, "",""))), """")"),"#VALUE!")</f>
        <v>#VALUE!</v>
      </c>
      <c r="J365" s="58"/>
      <c r="W365" s="51"/>
      <c r="X365" s="5"/>
      <c r="Y365" s="5"/>
      <c r="Z365" s="5"/>
      <c r="AA365" s="5"/>
      <c r="AB365" s="5"/>
    </row>
    <row r="366">
      <c r="B366" s="11" t="str">
        <f>Movies!C366</f>
        <v/>
      </c>
      <c r="C366" s="11" t="str">
        <f>IFERROR(__xludf.DUMMYFUNCTION("IF(ISBLANK(B366) = TRUE, ARRAYFORMULA(TRIM(SPLIT(B366, "",""))), """")"),"#VALUE!")</f>
        <v>#VALUE!</v>
      </c>
      <c r="J366" s="58"/>
      <c r="W366" s="51"/>
      <c r="X366" s="5"/>
      <c r="Y366" s="5"/>
      <c r="Z366" s="5"/>
      <c r="AA366" s="5"/>
      <c r="AB366" s="5"/>
    </row>
    <row r="367">
      <c r="B367" s="11" t="str">
        <f>Movies!C367</f>
        <v/>
      </c>
      <c r="C367" s="11" t="str">
        <f>IFERROR(__xludf.DUMMYFUNCTION("IF(ISBLANK(B367) = TRUE, ARRAYFORMULA(TRIM(SPLIT(B367, "",""))), """")"),"#VALUE!")</f>
        <v>#VALUE!</v>
      </c>
      <c r="J367" s="58"/>
      <c r="W367" s="51"/>
      <c r="X367" s="5"/>
      <c r="Y367" s="5"/>
      <c r="Z367" s="5"/>
      <c r="AA367" s="5"/>
      <c r="AB367" s="5"/>
    </row>
    <row r="368">
      <c r="B368" s="11" t="str">
        <f>Movies!C368</f>
        <v/>
      </c>
      <c r="C368" s="11" t="str">
        <f>IFERROR(__xludf.DUMMYFUNCTION("IF(ISBLANK(B368) = TRUE, ARRAYFORMULA(TRIM(SPLIT(B368, "",""))), """")"),"#VALUE!")</f>
        <v>#VALUE!</v>
      </c>
      <c r="J368" s="58"/>
      <c r="W368" s="51"/>
      <c r="X368" s="5"/>
      <c r="Y368" s="5"/>
      <c r="Z368" s="5"/>
      <c r="AA368" s="5"/>
      <c r="AB368" s="5"/>
    </row>
    <row r="369">
      <c r="B369" s="11" t="str">
        <f>Movies!C369</f>
        <v/>
      </c>
      <c r="C369" s="11" t="str">
        <f>IFERROR(__xludf.DUMMYFUNCTION("IF(ISBLANK(B369) = TRUE, ARRAYFORMULA(TRIM(SPLIT(B369, "",""))), """")"),"#VALUE!")</f>
        <v>#VALUE!</v>
      </c>
      <c r="J369" s="58"/>
      <c r="W369" s="51"/>
      <c r="X369" s="5"/>
      <c r="Y369" s="5"/>
      <c r="Z369" s="5"/>
      <c r="AA369" s="5"/>
      <c r="AB369" s="5"/>
    </row>
    <row r="370">
      <c r="B370" s="11" t="str">
        <f>Movies!C370</f>
        <v/>
      </c>
      <c r="C370" s="11" t="str">
        <f>IFERROR(__xludf.DUMMYFUNCTION("IF(ISBLANK(B370) = TRUE, ARRAYFORMULA(TRIM(SPLIT(B370, "",""))), """")"),"#VALUE!")</f>
        <v>#VALUE!</v>
      </c>
      <c r="J370" s="58"/>
      <c r="W370" s="51"/>
      <c r="X370" s="5"/>
      <c r="Y370" s="5"/>
      <c r="Z370" s="5"/>
      <c r="AA370" s="5"/>
      <c r="AB370" s="5"/>
    </row>
    <row r="371">
      <c r="B371" s="11" t="str">
        <f>Movies!C371</f>
        <v/>
      </c>
      <c r="C371" s="11" t="str">
        <f>IFERROR(__xludf.DUMMYFUNCTION("IF(ISBLANK(B371) = TRUE, ARRAYFORMULA(TRIM(SPLIT(B371, "",""))), """")"),"#VALUE!")</f>
        <v>#VALUE!</v>
      </c>
      <c r="J371" s="58"/>
      <c r="W371" s="51"/>
      <c r="X371" s="5"/>
      <c r="Y371" s="5"/>
      <c r="Z371" s="5"/>
      <c r="AA371" s="5"/>
      <c r="AB371" s="5"/>
    </row>
    <row r="372">
      <c r="B372" s="11" t="str">
        <f>Movies!C372</f>
        <v/>
      </c>
      <c r="C372" s="11" t="str">
        <f>IFERROR(__xludf.DUMMYFUNCTION("IF(ISBLANK(B372) = TRUE, ARRAYFORMULA(TRIM(SPLIT(B372, "",""))), """")"),"#VALUE!")</f>
        <v>#VALUE!</v>
      </c>
      <c r="J372" s="58"/>
      <c r="W372" s="51"/>
      <c r="X372" s="5"/>
      <c r="Y372" s="5"/>
      <c r="Z372" s="5"/>
      <c r="AA372" s="5"/>
      <c r="AB372" s="5"/>
    </row>
    <row r="373">
      <c r="B373" s="11" t="str">
        <f>Movies!C373</f>
        <v/>
      </c>
      <c r="C373" s="11" t="str">
        <f>IFERROR(__xludf.DUMMYFUNCTION("IF(ISBLANK(B373) = TRUE, ARRAYFORMULA(TRIM(SPLIT(B373, "",""))), """")"),"#VALUE!")</f>
        <v>#VALUE!</v>
      </c>
      <c r="J373" s="58"/>
      <c r="W373" s="51"/>
      <c r="X373" s="5"/>
      <c r="Y373" s="5"/>
      <c r="Z373" s="5"/>
      <c r="AA373" s="5"/>
      <c r="AB373" s="5"/>
    </row>
    <row r="374">
      <c r="B374" s="11" t="str">
        <f>Movies!C374</f>
        <v/>
      </c>
      <c r="C374" s="11" t="str">
        <f>IFERROR(__xludf.DUMMYFUNCTION("IF(ISBLANK(B374) = TRUE, ARRAYFORMULA(TRIM(SPLIT(B374, "",""))), """")"),"#VALUE!")</f>
        <v>#VALUE!</v>
      </c>
      <c r="J374" s="58"/>
      <c r="W374" s="51"/>
      <c r="X374" s="5"/>
      <c r="Y374" s="5"/>
      <c r="Z374" s="5"/>
      <c r="AA374" s="5"/>
      <c r="AB374" s="5"/>
    </row>
    <row r="375">
      <c r="B375" s="11" t="str">
        <f>Movies!C375</f>
        <v/>
      </c>
      <c r="C375" s="11" t="str">
        <f>IFERROR(__xludf.DUMMYFUNCTION("IF(ISBLANK(B375) = TRUE, ARRAYFORMULA(TRIM(SPLIT(B375, "",""))), """")"),"#VALUE!")</f>
        <v>#VALUE!</v>
      </c>
      <c r="J375" s="58"/>
      <c r="W375" s="51"/>
      <c r="X375" s="5"/>
      <c r="Y375" s="5"/>
      <c r="Z375" s="5"/>
      <c r="AA375" s="5"/>
      <c r="AB375" s="5"/>
    </row>
    <row r="376">
      <c r="B376" s="11" t="str">
        <f>Movies!C376</f>
        <v/>
      </c>
      <c r="C376" s="11" t="str">
        <f>IFERROR(__xludf.DUMMYFUNCTION("IF(ISBLANK(B376) = TRUE, ARRAYFORMULA(TRIM(SPLIT(B376, "",""))), """")"),"#VALUE!")</f>
        <v>#VALUE!</v>
      </c>
      <c r="J376" s="58"/>
      <c r="W376" s="51"/>
      <c r="X376" s="5"/>
      <c r="Y376" s="5"/>
      <c r="Z376" s="5"/>
      <c r="AA376" s="5"/>
      <c r="AB376" s="5"/>
    </row>
    <row r="377">
      <c r="B377" s="11" t="str">
        <f>Movies!C377</f>
        <v/>
      </c>
      <c r="C377" s="11" t="str">
        <f>IFERROR(__xludf.DUMMYFUNCTION("IF(ISBLANK(B377) = TRUE, ARRAYFORMULA(TRIM(SPLIT(B377, "",""))), """")"),"#VALUE!")</f>
        <v>#VALUE!</v>
      </c>
      <c r="J377" s="58"/>
      <c r="W377" s="51"/>
      <c r="X377" s="5"/>
      <c r="Y377" s="5"/>
      <c r="Z377" s="5"/>
      <c r="AA377" s="5"/>
      <c r="AB377" s="5"/>
    </row>
    <row r="378">
      <c r="B378" s="11" t="str">
        <f>Movies!C378</f>
        <v/>
      </c>
      <c r="C378" s="11" t="str">
        <f>IFERROR(__xludf.DUMMYFUNCTION("IF(ISBLANK(B378) = TRUE, ARRAYFORMULA(TRIM(SPLIT(B378, "",""))), """")"),"#VALUE!")</f>
        <v>#VALUE!</v>
      </c>
      <c r="J378" s="58"/>
      <c r="W378" s="51"/>
      <c r="X378" s="5"/>
      <c r="Y378" s="5"/>
      <c r="Z378" s="5"/>
      <c r="AA378" s="5"/>
      <c r="AB378" s="5"/>
    </row>
    <row r="379">
      <c r="B379" s="11" t="str">
        <f>Movies!C379</f>
        <v/>
      </c>
      <c r="C379" s="11" t="str">
        <f>IFERROR(__xludf.DUMMYFUNCTION("IF(ISBLANK(B379) = TRUE, ARRAYFORMULA(TRIM(SPLIT(B379, "",""))), """")"),"#VALUE!")</f>
        <v>#VALUE!</v>
      </c>
      <c r="J379" s="58"/>
      <c r="W379" s="51"/>
      <c r="X379" s="5"/>
      <c r="Y379" s="5"/>
      <c r="Z379" s="5"/>
      <c r="AA379" s="5"/>
      <c r="AB379" s="5"/>
    </row>
    <row r="380">
      <c r="B380" s="11" t="str">
        <f>Movies!C380</f>
        <v/>
      </c>
      <c r="C380" s="11" t="str">
        <f>IFERROR(__xludf.DUMMYFUNCTION("IF(ISBLANK(B380) = TRUE, ARRAYFORMULA(TRIM(SPLIT(B380, "",""))), """")"),"#VALUE!")</f>
        <v>#VALUE!</v>
      </c>
      <c r="J380" s="58"/>
      <c r="W380" s="51"/>
      <c r="X380" s="5"/>
      <c r="Y380" s="5"/>
      <c r="Z380" s="5"/>
      <c r="AA380" s="5"/>
      <c r="AB380" s="5"/>
    </row>
    <row r="381">
      <c r="B381" s="11" t="str">
        <f>Movies!C381</f>
        <v/>
      </c>
      <c r="C381" s="11" t="str">
        <f>IFERROR(__xludf.DUMMYFUNCTION("IF(ISBLANK(B381) = TRUE, ARRAYFORMULA(TRIM(SPLIT(B381, "",""))), """")"),"#VALUE!")</f>
        <v>#VALUE!</v>
      </c>
      <c r="J381" s="58"/>
      <c r="W381" s="51"/>
      <c r="X381" s="5"/>
      <c r="Y381" s="5"/>
      <c r="Z381" s="5"/>
      <c r="AA381" s="5"/>
      <c r="AB381" s="5"/>
    </row>
    <row r="382">
      <c r="B382" s="11" t="str">
        <f>Movies!C382</f>
        <v/>
      </c>
      <c r="C382" s="11" t="str">
        <f>IFERROR(__xludf.DUMMYFUNCTION("IF(ISBLANK(B382) = TRUE, ARRAYFORMULA(TRIM(SPLIT(B382, "",""))), """")"),"#VALUE!")</f>
        <v>#VALUE!</v>
      </c>
      <c r="J382" s="58"/>
      <c r="W382" s="51"/>
      <c r="X382" s="5"/>
      <c r="Y382" s="5"/>
      <c r="Z382" s="5"/>
      <c r="AA382" s="5"/>
      <c r="AB382" s="5"/>
    </row>
    <row r="383">
      <c r="B383" s="11" t="str">
        <f>Movies!C383</f>
        <v/>
      </c>
      <c r="C383" s="11" t="str">
        <f>IFERROR(__xludf.DUMMYFUNCTION("IF(ISBLANK(B383) = TRUE, ARRAYFORMULA(TRIM(SPLIT(B383, "",""))), """")"),"#VALUE!")</f>
        <v>#VALUE!</v>
      </c>
      <c r="J383" s="58"/>
      <c r="W383" s="51"/>
      <c r="X383" s="5"/>
      <c r="Y383" s="5"/>
      <c r="Z383" s="5"/>
      <c r="AA383" s="5"/>
      <c r="AB383" s="5"/>
    </row>
    <row r="384">
      <c r="B384" s="11" t="str">
        <f>Movies!C384</f>
        <v/>
      </c>
      <c r="C384" s="11" t="str">
        <f>IFERROR(__xludf.DUMMYFUNCTION("IF(ISBLANK(B384) = TRUE, ARRAYFORMULA(TRIM(SPLIT(B384, "",""))), """")"),"#VALUE!")</f>
        <v>#VALUE!</v>
      </c>
      <c r="J384" s="58"/>
      <c r="W384" s="51"/>
      <c r="X384" s="5"/>
      <c r="Y384" s="5"/>
      <c r="Z384" s="5"/>
      <c r="AA384" s="5"/>
      <c r="AB384" s="5"/>
    </row>
    <row r="385">
      <c r="B385" s="11" t="str">
        <f>Movies!C385</f>
        <v/>
      </c>
      <c r="C385" s="11" t="str">
        <f>IFERROR(__xludf.DUMMYFUNCTION("IF(ISBLANK(B385) = TRUE, ARRAYFORMULA(TRIM(SPLIT(B385, "",""))), """")"),"#VALUE!")</f>
        <v>#VALUE!</v>
      </c>
      <c r="J385" s="58"/>
      <c r="W385" s="51"/>
      <c r="X385" s="5"/>
      <c r="Y385" s="5"/>
      <c r="Z385" s="5"/>
      <c r="AA385" s="5"/>
      <c r="AB385" s="5"/>
    </row>
    <row r="386">
      <c r="B386" s="11" t="str">
        <f>Movies!C386</f>
        <v/>
      </c>
      <c r="C386" s="11" t="str">
        <f>IFERROR(__xludf.DUMMYFUNCTION("IF(ISBLANK(B386) = TRUE, ARRAYFORMULA(TRIM(SPLIT(B386, "",""))), """")"),"#VALUE!")</f>
        <v>#VALUE!</v>
      </c>
      <c r="J386" s="58"/>
      <c r="W386" s="51"/>
      <c r="X386" s="5"/>
      <c r="Y386" s="5"/>
      <c r="Z386" s="5"/>
      <c r="AA386" s="5"/>
      <c r="AB386" s="5"/>
    </row>
    <row r="387">
      <c r="B387" s="11" t="str">
        <f>Movies!C387</f>
        <v/>
      </c>
      <c r="C387" s="11" t="str">
        <f>IFERROR(__xludf.DUMMYFUNCTION("IF(ISBLANK(B387) = TRUE, ARRAYFORMULA(TRIM(SPLIT(B387, "",""))), """")"),"#VALUE!")</f>
        <v>#VALUE!</v>
      </c>
      <c r="J387" s="58"/>
      <c r="W387" s="51"/>
      <c r="X387" s="5"/>
      <c r="Y387" s="5"/>
      <c r="Z387" s="5"/>
      <c r="AA387" s="5"/>
      <c r="AB387" s="5"/>
    </row>
    <row r="388">
      <c r="B388" s="11" t="str">
        <f>Movies!C388</f>
        <v/>
      </c>
      <c r="C388" s="11" t="str">
        <f>IFERROR(__xludf.DUMMYFUNCTION("IF(ISBLANK(B388) = TRUE, ARRAYFORMULA(TRIM(SPLIT(B388, "",""))), """")"),"#VALUE!")</f>
        <v>#VALUE!</v>
      </c>
      <c r="J388" s="58"/>
      <c r="W388" s="51"/>
      <c r="X388" s="5"/>
      <c r="Y388" s="5"/>
      <c r="Z388" s="5"/>
      <c r="AA388" s="5"/>
      <c r="AB388" s="5"/>
    </row>
    <row r="389">
      <c r="B389" s="11" t="str">
        <f>Movies!C389</f>
        <v/>
      </c>
      <c r="C389" s="11" t="str">
        <f>IFERROR(__xludf.DUMMYFUNCTION("IF(ISBLANK(B389) = TRUE, ARRAYFORMULA(TRIM(SPLIT(B389, "",""))), """")"),"#VALUE!")</f>
        <v>#VALUE!</v>
      </c>
      <c r="J389" s="58"/>
      <c r="W389" s="51"/>
      <c r="X389" s="5"/>
      <c r="Y389" s="5"/>
      <c r="Z389" s="5"/>
      <c r="AA389" s="5"/>
      <c r="AB389" s="5"/>
    </row>
    <row r="390">
      <c r="B390" s="11" t="str">
        <f>Movies!C390</f>
        <v/>
      </c>
      <c r="C390" s="11" t="str">
        <f>IFERROR(__xludf.DUMMYFUNCTION("IF(ISBLANK(B390) = TRUE, ARRAYFORMULA(TRIM(SPLIT(B390, "",""))), """")"),"#VALUE!")</f>
        <v>#VALUE!</v>
      </c>
      <c r="J390" s="58"/>
      <c r="W390" s="51"/>
      <c r="X390" s="5"/>
      <c r="Y390" s="5"/>
      <c r="Z390" s="5"/>
      <c r="AA390" s="5"/>
      <c r="AB390" s="5"/>
    </row>
    <row r="391">
      <c r="B391" s="11" t="str">
        <f>Movies!C391</f>
        <v/>
      </c>
      <c r="C391" s="11" t="str">
        <f>IFERROR(__xludf.DUMMYFUNCTION("IF(ISBLANK(B391) = TRUE, ARRAYFORMULA(TRIM(SPLIT(B391, "",""))), """")"),"#VALUE!")</f>
        <v>#VALUE!</v>
      </c>
      <c r="J391" s="58"/>
      <c r="W391" s="51"/>
      <c r="X391" s="5"/>
      <c r="Y391" s="5"/>
      <c r="Z391" s="5"/>
      <c r="AA391" s="5"/>
      <c r="AB391" s="5"/>
    </row>
    <row r="392">
      <c r="B392" s="11" t="str">
        <f>Movies!C392</f>
        <v/>
      </c>
      <c r="C392" s="11" t="str">
        <f>IFERROR(__xludf.DUMMYFUNCTION("IF(ISBLANK(B392) = TRUE, ARRAYFORMULA(TRIM(SPLIT(B392, "",""))), """")"),"#VALUE!")</f>
        <v>#VALUE!</v>
      </c>
      <c r="J392" s="58"/>
      <c r="W392" s="51"/>
      <c r="X392" s="5"/>
      <c r="Y392" s="5"/>
      <c r="Z392" s="5"/>
      <c r="AA392" s="5"/>
      <c r="AB392" s="5"/>
    </row>
    <row r="393">
      <c r="B393" s="11" t="str">
        <f>Movies!C393</f>
        <v/>
      </c>
      <c r="C393" s="11" t="str">
        <f>IFERROR(__xludf.DUMMYFUNCTION("IF(ISBLANK(B393) = TRUE, ARRAYFORMULA(TRIM(SPLIT(B393, "",""))), """")"),"#VALUE!")</f>
        <v>#VALUE!</v>
      </c>
      <c r="J393" s="58"/>
      <c r="W393" s="51"/>
      <c r="X393" s="5"/>
      <c r="Y393" s="5"/>
      <c r="Z393" s="5"/>
      <c r="AA393" s="5"/>
      <c r="AB393" s="5"/>
    </row>
    <row r="394">
      <c r="B394" s="11" t="str">
        <f>Movies!C394</f>
        <v/>
      </c>
      <c r="C394" s="11" t="str">
        <f>IFERROR(__xludf.DUMMYFUNCTION("IF(ISBLANK(B394) = TRUE, ARRAYFORMULA(TRIM(SPLIT(B394, "",""))), """")"),"#VALUE!")</f>
        <v>#VALUE!</v>
      </c>
      <c r="J394" s="58"/>
      <c r="W394" s="51"/>
      <c r="X394" s="5"/>
      <c r="Y394" s="5"/>
      <c r="Z394" s="5"/>
      <c r="AA394" s="5"/>
      <c r="AB394" s="5"/>
    </row>
    <row r="395">
      <c r="B395" s="11" t="str">
        <f>Movies!C395</f>
        <v/>
      </c>
      <c r="C395" s="11" t="str">
        <f>IFERROR(__xludf.DUMMYFUNCTION("IF(ISBLANK(B395) = TRUE, ARRAYFORMULA(TRIM(SPLIT(B395, "",""))), """")"),"#VALUE!")</f>
        <v>#VALUE!</v>
      </c>
      <c r="J395" s="58"/>
      <c r="W395" s="51"/>
      <c r="X395" s="5"/>
      <c r="Y395" s="5"/>
      <c r="Z395" s="5"/>
      <c r="AA395" s="5"/>
      <c r="AB395" s="5"/>
    </row>
    <row r="396">
      <c r="B396" s="11" t="str">
        <f>Movies!C396</f>
        <v/>
      </c>
      <c r="C396" s="11" t="str">
        <f>IFERROR(__xludf.DUMMYFUNCTION("IF(ISBLANK(B396) = TRUE, ARRAYFORMULA(TRIM(SPLIT(B396, "",""))), """")"),"#VALUE!")</f>
        <v>#VALUE!</v>
      </c>
      <c r="J396" s="58"/>
      <c r="W396" s="51"/>
      <c r="X396" s="5"/>
      <c r="Y396" s="5"/>
      <c r="Z396" s="5"/>
      <c r="AA396" s="5"/>
      <c r="AB396" s="5"/>
    </row>
    <row r="397">
      <c r="B397" s="11" t="str">
        <f>Movies!C397</f>
        <v/>
      </c>
      <c r="C397" s="11" t="str">
        <f>IFERROR(__xludf.DUMMYFUNCTION("IF(ISBLANK(B397) = TRUE, ARRAYFORMULA(TRIM(SPLIT(B397, "",""))), """")"),"#VALUE!")</f>
        <v>#VALUE!</v>
      </c>
      <c r="J397" s="58"/>
      <c r="W397" s="51"/>
      <c r="X397" s="5"/>
      <c r="Y397" s="5"/>
      <c r="Z397" s="5"/>
      <c r="AA397" s="5"/>
      <c r="AB397" s="5"/>
    </row>
    <row r="398">
      <c r="B398" s="11" t="str">
        <f>Movies!C398</f>
        <v/>
      </c>
      <c r="C398" s="11" t="str">
        <f>IFERROR(__xludf.DUMMYFUNCTION("IF(ISBLANK(B398) = TRUE, ARRAYFORMULA(TRIM(SPLIT(B398, "",""))), """")"),"#VALUE!")</f>
        <v>#VALUE!</v>
      </c>
      <c r="J398" s="58"/>
      <c r="W398" s="51"/>
      <c r="X398" s="5"/>
      <c r="Y398" s="5"/>
      <c r="Z398" s="5"/>
      <c r="AA398" s="5"/>
      <c r="AB398" s="5"/>
    </row>
    <row r="399">
      <c r="B399" s="11" t="str">
        <f>Movies!C399</f>
        <v/>
      </c>
      <c r="C399" s="11" t="str">
        <f>IFERROR(__xludf.DUMMYFUNCTION("IF(ISBLANK(B399) = TRUE, ARRAYFORMULA(TRIM(SPLIT(B399, "",""))), """")"),"#VALUE!")</f>
        <v>#VALUE!</v>
      </c>
      <c r="J399" s="58"/>
      <c r="W399" s="51"/>
      <c r="X399" s="5"/>
      <c r="Y399" s="5"/>
      <c r="Z399" s="5"/>
      <c r="AA399" s="5"/>
      <c r="AB399" s="5"/>
    </row>
    <row r="400">
      <c r="B400" s="11" t="str">
        <f>Movies!C400</f>
        <v/>
      </c>
      <c r="C400" s="11" t="str">
        <f>IFERROR(__xludf.DUMMYFUNCTION("IF(ISBLANK(B400) = TRUE, ARRAYFORMULA(TRIM(SPLIT(B400, "",""))), """")"),"#VALUE!")</f>
        <v>#VALUE!</v>
      </c>
      <c r="J400" s="58"/>
      <c r="W400" s="51"/>
      <c r="X400" s="5"/>
      <c r="Y400" s="5"/>
      <c r="Z400" s="5"/>
      <c r="AA400" s="5"/>
      <c r="AB400" s="5"/>
    </row>
    <row r="401">
      <c r="B401" s="11" t="str">
        <f>Movies!C401</f>
        <v/>
      </c>
      <c r="C401" s="11" t="str">
        <f>IFERROR(__xludf.DUMMYFUNCTION("IF(ISBLANK(B401) = TRUE, ARRAYFORMULA(TRIM(SPLIT(B401, "",""))), """")"),"#VALUE!")</f>
        <v>#VALUE!</v>
      </c>
      <c r="J401" s="58"/>
      <c r="W401" s="51"/>
      <c r="X401" s="5"/>
      <c r="Y401" s="5"/>
      <c r="Z401" s="5"/>
      <c r="AA401" s="5"/>
      <c r="AB401" s="5"/>
    </row>
    <row r="402">
      <c r="B402" s="11" t="str">
        <f>Movies!C402</f>
        <v/>
      </c>
      <c r="C402" s="11" t="str">
        <f>IFERROR(__xludf.DUMMYFUNCTION("IF(ISBLANK(B402) = TRUE, ARRAYFORMULA(TRIM(SPLIT(B402, "",""))), """")"),"#VALUE!")</f>
        <v>#VALUE!</v>
      </c>
      <c r="J402" s="58"/>
      <c r="W402" s="51"/>
      <c r="X402" s="5"/>
      <c r="Y402" s="5"/>
      <c r="Z402" s="5"/>
      <c r="AA402" s="5"/>
      <c r="AB402" s="5"/>
    </row>
    <row r="403">
      <c r="B403" s="11" t="str">
        <f>Movies!C403</f>
        <v/>
      </c>
      <c r="J403" s="58"/>
      <c r="W403" s="51"/>
      <c r="X403" s="5"/>
      <c r="Y403" s="5"/>
      <c r="Z403" s="5"/>
      <c r="AA403" s="5"/>
      <c r="AB403" s="5"/>
    </row>
    <row r="404">
      <c r="B404" s="11" t="str">
        <f>Movies!C404</f>
        <v/>
      </c>
      <c r="J404" s="58"/>
      <c r="W404" s="51"/>
      <c r="X404" s="5"/>
      <c r="Y404" s="5"/>
      <c r="Z404" s="5"/>
      <c r="AA404" s="5"/>
      <c r="AB404" s="5"/>
    </row>
    <row r="405">
      <c r="B405" s="11" t="str">
        <f>Movies!C405</f>
        <v/>
      </c>
      <c r="J405" s="58"/>
      <c r="W405" s="51"/>
      <c r="X405" s="5"/>
      <c r="Y405" s="5"/>
      <c r="Z405" s="5"/>
      <c r="AA405" s="5"/>
      <c r="AB405" s="5"/>
    </row>
    <row r="406">
      <c r="B406" s="11" t="str">
        <f>Movies!C406</f>
        <v/>
      </c>
      <c r="J406" s="58"/>
      <c r="W406" s="51"/>
      <c r="X406" s="5"/>
      <c r="Y406" s="5"/>
      <c r="Z406" s="5"/>
      <c r="AA406" s="5"/>
      <c r="AB406" s="5"/>
    </row>
    <row r="407">
      <c r="B407" s="11" t="str">
        <f>Movies!C407</f>
        <v/>
      </c>
      <c r="J407" s="58"/>
      <c r="W407" s="51"/>
      <c r="X407" s="5"/>
      <c r="Y407" s="5"/>
      <c r="Z407" s="5"/>
      <c r="AA407" s="5"/>
      <c r="AB407" s="5"/>
    </row>
    <row r="408">
      <c r="B408" s="11" t="str">
        <f>Movies!C408</f>
        <v/>
      </c>
      <c r="J408" s="58"/>
      <c r="W408" s="51"/>
      <c r="X408" s="5"/>
      <c r="Y408" s="5"/>
      <c r="Z408" s="5"/>
      <c r="AA408" s="5"/>
      <c r="AB408" s="5"/>
    </row>
    <row r="409">
      <c r="B409" s="11" t="str">
        <f>Movies!C409</f>
        <v/>
      </c>
      <c r="J409" s="58"/>
      <c r="W409" s="51"/>
      <c r="X409" s="5"/>
      <c r="Y409" s="5"/>
      <c r="Z409" s="5"/>
      <c r="AA409" s="5"/>
      <c r="AB409" s="5"/>
    </row>
    <row r="410">
      <c r="B410" s="11" t="str">
        <f>Movies!C410</f>
        <v/>
      </c>
      <c r="J410" s="58"/>
      <c r="W410" s="51"/>
      <c r="X410" s="5"/>
      <c r="Y410" s="5"/>
      <c r="Z410" s="5"/>
      <c r="AA410" s="5"/>
      <c r="AB410" s="5"/>
    </row>
    <row r="411">
      <c r="B411" s="11" t="str">
        <f>Movies!C411</f>
        <v/>
      </c>
      <c r="J411" s="58"/>
      <c r="W411" s="51"/>
      <c r="X411" s="5"/>
      <c r="Y411" s="5"/>
      <c r="Z411" s="5"/>
      <c r="AA411" s="5"/>
      <c r="AB411" s="5"/>
    </row>
    <row r="412">
      <c r="B412" s="11" t="str">
        <f>Movies!C412</f>
        <v/>
      </c>
      <c r="J412" s="58"/>
      <c r="W412" s="51"/>
      <c r="X412" s="5"/>
      <c r="Y412" s="5"/>
      <c r="Z412" s="5"/>
      <c r="AA412" s="5"/>
      <c r="AB412" s="5"/>
    </row>
    <row r="413">
      <c r="B413" s="11" t="str">
        <f>Movies!C413</f>
        <v/>
      </c>
      <c r="J413" s="58"/>
      <c r="W413" s="51"/>
      <c r="X413" s="5"/>
      <c r="Y413" s="5"/>
      <c r="Z413" s="5"/>
      <c r="AA413" s="5"/>
      <c r="AB413" s="5"/>
    </row>
    <row r="414">
      <c r="B414" s="11" t="str">
        <f>Movies!C414</f>
        <v/>
      </c>
      <c r="J414" s="58"/>
      <c r="W414" s="51"/>
      <c r="X414" s="5"/>
      <c r="Y414" s="5"/>
      <c r="Z414" s="5"/>
      <c r="AA414" s="5"/>
      <c r="AB414" s="5"/>
    </row>
    <row r="415">
      <c r="B415" s="11" t="str">
        <f>Movies!C415</f>
        <v/>
      </c>
      <c r="J415" s="58"/>
      <c r="W415" s="51"/>
      <c r="X415" s="5"/>
      <c r="Y415" s="5"/>
      <c r="Z415" s="5"/>
      <c r="AA415" s="5"/>
      <c r="AB415" s="5"/>
    </row>
    <row r="416">
      <c r="B416" s="11" t="str">
        <f>Movies!C416</f>
        <v/>
      </c>
      <c r="J416" s="58"/>
      <c r="W416" s="51"/>
      <c r="X416" s="5"/>
      <c r="Y416" s="5"/>
      <c r="Z416" s="5"/>
      <c r="AA416" s="5"/>
      <c r="AB416" s="5"/>
    </row>
    <row r="417">
      <c r="B417" s="11" t="str">
        <f>Movies!C417</f>
        <v/>
      </c>
      <c r="J417" s="58"/>
      <c r="W417" s="51"/>
      <c r="X417" s="5"/>
      <c r="Y417" s="5"/>
      <c r="Z417" s="5"/>
      <c r="AA417" s="5"/>
      <c r="AB417" s="5"/>
    </row>
    <row r="418">
      <c r="B418" s="11" t="str">
        <f>Movies!C418</f>
        <v/>
      </c>
      <c r="J418" s="58"/>
      <c r="W418" s="51"/>
      <c r="X418" s="5"/>
      <c r="Y418" s="5"/>
      <c r="Z418" s="5"/>
      <c r="AA418" s="5"/>
      <c r="AB418" s="5"/>
    </row>
    <row r="419">
      <c r="B419" s="11" t="str">
        <f>Movies!C419</f>
        <v/>
      </c>
      <c r="J419" s="58"/>
      <c r="W419" s="51"/>
      <c r="X419" s="5"/>
      <c r="Y419" s="5"/>
      <c r="Z419" s="5"/>
      <c r="AA419" s="5"/>
      <c r="AB419" s="5"/>
    </row>
    <row r="420">
      <c r="B420" s="11" t="str">
        <f>Movies!C420</f>
        <v/>
      </c>
      <c r="J420" s="58"/>
      <c r="W420" s="51"/>
      <c r="X420" s="5"/>
      <c r="Y420" s="5"/>
      <c r="Z420" s="5"/>
      <c r="AA420" s="5"/>
      <c r="AB420" s="5"/>
    </row>
    <row r="421">
      <c r="B421" s="11" t="str">
        <f>Movies!C421</f>
        <v/>
      </c>
      <c r="J421" s="58"/>
      <c r="W421" s="51"/>
      <c r="X421" s="5"/>
      <c r="Y421" s="5"/>
      <c r="Z421" s="5"/>
      <c r="AA421" s="5"/>
      <c r="AB421" s="5"/>
    </row>
    <row r="422">
      <c r="B422" s="11" t="str">
        <f>#REF!</f>
        <v>#REF!</v>
      </c>
      <c r="J422" s="58"/>
      <c r="W422" s="51"/>
      <c r="X422" s="5"/>
      <c r="Y422" s="5"/>
      <c r="Z422" s="5"/>
      <c r="AA422" s="5"/>
      <c r="AB422" s="5"/>
    </row>
    <row r="423">
      <c r="B423" s="11" t="str">
        <f>Movies!C422</f>
        <v/>
      </c>
      <c r="J423" s="58"/>
      <c r="W423" s="51"/>
      <c r="X423" s="5"/>
      <c r="Y423" s="5"/>
      <c r="Z423" s="5"/>
      <c r="AA423" s="5"/>
      <c r="AB423" s="5"/>
    </row>
    <row r="424">
      <c r="B424" s="11" t="str">
        <f>Movies!C423</f>
        <v/>
      </c>
      <c r="J424" s="58"/>
      <c r="W424" s="51"/>
      <c r="X424" s="5"/>
      <c r="Y424" s="5"/>
      <c r="Z424" s="5"/>
      <c r="AA424" s="5"/>
      <c r="AB424" s="5"/>
    </row>
    <row r="425">
      <c r="B425" s="11" t="str">
        <f>Movies!C424</f>
        <v/>
      </c>
      <c r="J425" s="58"/>
      <c r="W425" s="51"/>
      <c r="X425" s="5"/>
      <c r="Y425" s="5"/>
      <c r="Z425" s="5"/>
      <c r="AA425" s="5"/>
      <c r="AB425" s="5"/>
    </row>
    <row r="426">
      <c r="B426" s="11" t="str">
        <f>Movies!C425</f>
        <v/>
      </c>
      <c r="J426" s="58"/>
      <c r="W426" s="51"/>
      <c r="X426" s="5"/>
      <c r="Y426" s="5"/>
      <c r="Z426" s="5"/>
      <c r="AA426" s="5"/>
      <c r="AB426" s="5"/>
    </row>
    <row r="427">
      <c r="B427" s="11" t="str">
        <f>Movies!C426</f>
        <v/>
      </c>
      <c r="J427" s="58"/>
      <c r="W427" s="51"/>
      <c r="X427" s="5"/>
      <c r="Y427" s="5"/>
      <c r="Z427" s="5"/>
      <c r="AA427" s="5"/>
      <c r="AB427" s="5"/>
    </row>
    <row r="428">
      <c r="B428" s="11" t="str">
        <f>Movies!C427</f>
        <v/>
      </c>
      <c r="J428" s="58"/>
      <c r="W428" s="51"/>
      <c r="X428" s="5"/>
      <c r="Y428" s="5"/>
      <c r="Z428" s="5"/>
      <c r="AA428" s="5"/>
      <c r="AB428" s="5"/>
    </row>
    <row r="429">
      <c r="B429" s="11" t="str">
        <f>Movies!C428</f>
        <v/>
      </c>
      <c r="J429" s="58"/>
      <c r="W429" s="51"/>
      <c r="X429" s="5"/>
      <c r="Y429" s="5"/>
      <c r="Z429" s="5"/>
      <c r="AA429" s="5"/>
      <c r="AB429" s="5"/>
    </row>
    <row r="430">
      <c r="B430" s="11" t="str">
        <f>Movies!C429</f>
        <v/>
      </c>
      <c r="J430" s="58"/>
      <c r="W430" s="51"/>
      <c r="X430" s="5"/>
      <c r="Y430" s="5"/>
      <c r="Z430" s="5"/>
      <c r="AA430" s="5"/>
      <c r="AB430" s="5"/>
    </row>
    <row r="431">
      <c r="B431" s="11" t="str">
        <f>Movies!C430</f>
        <v/>
      </c>
      <c r="J431" s="58"/>
      <c r="W431" s="51"/>
      <c r="X431" s="5"/>
      <c r="Y431" s="5"/>
      <c r="Z431" s="5"/>
      <c r="AA431" s="5"/>
      <c r="AB431" s="5"/>
    </row>
    <row r="432">
      <c r="B432" s="11" t="str">
        <f>Movies!C431</f>
        <v/>
      </c>
      <c r="J432" s="58"/>
      <c r="W432" s="51"/>
      <c r="X432" s="5"/>
      <c r="Y432" s="5"/>
      <c r="Z432" s="5"/>
      <c r="AA432" s="5"/>
      <c r="AB432" s="5"/>
    </row>
    <row r="433">
      <c r="B433" s="11" t="str">
        <f>Movies!C432</f>
        <v/>
      </c>
      <c r="J433" s="58"/>
      <c r="W433" s="51"/>
      <c r="X433" s="5"/>
      <c r="Y433" s="5"/>
      <c r="Z433" s="5"/>
      <c r="AA433" s="5"/>
      <c r="AB433" s="5"/>
    </row>
    <row r="434">
      <c r="B434" s="11" t="str">
        <f>Movies!C433</f>
        <v/>
      </c>
      <c r="J434" s="58"/>
      <c r="W434" s="51"/>
      <c r="X434" s="5"/>
      <c r="Y434" s="5"/>
      <c r="Z434" s="5"/>
      <c r="AA434" s="5"/>
      <c r="AB434" s="5"/>
    </row>
    <row r="435">
      <c r="B435" s="11" t="str">
        <f>Movies!C434</f>
        <v/>
      </c>
      <c r="J435" s="58"/>
      <c r="W435" s="51"/>
      <c r="X435" s="5"/>
      <c r="Y435" s="5"/>
      <c r="Z435" s="5"/>
      <c r="AA435" s="5"/>
      <c r="AB435" s="5"/>
    </row>
    <row r="436">
      <c r="B436" s="11" t="str">
        <f>Movies!C435</f>
        <v/>
      </c>
      <c r="J436" s="58"/>
      <c r="W436" s="51"/>
      <c r="X436" s="5"/>
      <c r="Y436" s="5"/>
      <c r="Z436" s="5"/>
      <c r="AA436" s="5"/>
      <c r="AB436" s="5"/>
    </row>
    <row r="437">
      <c r="B437" s="11" t="str">
        <f>Movies!C436</f>
        <v/>
      </c>
      <c r="J437" s="58"/>
      <c r="W437" s="51"/>
      <c r="X437" s="5"/>
      <c r="Y437" s="5"/>
      <c r="Z437" s="5"/>
      <c r="AA437" s="5"/>
      <c r="AB437" s="5"/>
    </row>
    <row r="438">
      <c r="B438" s="11" t="str">
        <f>Movies!C437</f>
        <v/>
      </c>
      <c r="J438" s="58"/>
      <c r="W438" s="51"/>
      <c r="X438" s="5"/>
      <c r="Y438" s="5"/>
      <c r="Z438" s="5"/>
      <c r="AA438" s="5"/>
      <c r="AB438" s="5"/>
    </row>
    <row r="439">
      <c r="B439" s="11" t="str">
        <f>Movies!C438</f>
        <v/>
      </c>
      <c r="J439" s="58"/>
      <c r="W439" s="51"/>
      <c r="X439" s="5"/>
      <c r="Y439" s="5"/>
      <c r="Z439" s="5"/>
      <c r="AA439" s="5"/>
      <c r="AB439" s="5"/>
    </row>
    <row r="440">
      <c r="B440" s="11" t="str">
        <f>Movies!C439</f>
        <v/>
      </c>
      <c r="J440" s="58"/>
      <c r="W440" s="51"/>
      <c r="X440" s="5"/>
      <c r="Y440" s="5"/>
      <c r="Z440" s="5"/>
      <c r="AA440" s="5"/>
      <c r="AB440" s="5"/>
    </row>
    <row r="441">
      <c r="B441" s="11" t="str">
        <f>Movies!C440</f>
        <v/>
      </c>
      <c r="J441" s="58"/>
      <c r="W441" s="51"/>
      <c r="X441" s="5"/>
      <c r="Y441" s="5"/>
      <c r="Z441" s="5"/>
      <c r="AA441" s="5"/>
      <c r="AB441" s="5"/>
    </row>
    <row r="442">
      <c r="B442" s="11" t="str">
        <f>Movies!C441</f>
        <v/>
      </c>
      <c r="J442" s="58"/>
      <c r="W442" s="51"/>
      <c r="X442" s="5"/>
      <c r="Y442" s="5"/>
      <c r="Z442" s="5"/>
      <c r="AA442" s="5"/>
      <c r="AB442" s="5"/>
    </row>
    <row r="443">
      <c r="B443" s="11" t="str">
        <f>Movies!C442</f>
        <v/>
      </c>
      <c r="J443" s="58"/>
      <c r="W443" s="51"/>
      <c r="X443" s="5"/>
      <c r="Y443" s="5"/>
      <c r="Z443" s="5"/>
      <c r="AA443" s="5"/>
      <c r="AB443" s="5"/>
    </row>
    <row r="444">
      <c r="B444" s="11" t="str">
        <f>Movies!C443</f>
        <v/>
      </c>
      <c r="J444" s="58"/>
      <c r="W444" s="51"/>
      <c r="X444" s="5"/>
      <c r="Y444" s="5"/>
      <c r="Z444" s="5"/>
      <c r="AA444" s="5"/>
      <c r="AB444" s="5"/>
    </row>
    <row r="445">
      <c r="B445" s="11" t="str">
        <f>Movies!C444</f>
        <v/>
      </c>
      <c r="J445" s="58"/>
      <c r="W445" s="51"/>
      <c r="X445" s="5"/>
      <c r="Y445" s="5"/>
      <c r="Z445" s="5"/>
      <c r="AA445" s="5"/>
      <c r="AB445" s="5"/>
    </row>
    <row r="446">
      <c r="B446" s="11" t="str">
        <f>Movies!C445</f>
        <v/>
      </c>
      <c r="J446" s="58"/>
      <c r="W446" s="51"/>
      <c r="X446" s="5"/>
      <c r="Y446" s="5"/>
      <c r="Z446" s="5"/>
      <c r="AA446" s="5"/>
      <c r="AB446" s="5"/>
    </row>
    <row r="447">
      <c r="B447" s="11" t="str">
        <f>Movies!C446</f>
        <v/>
      </c>
      <c r="J447" s="58"/>
      <c r="W447" s="51"/>
      <c r="X447" s="5"/>
      <c r="Y447" s="5"/>
      <c r="Z447" s="5"/>
      <c r="AA447" s="5"/>
      <c r="AB447" s="5"/>
    </row>
    <row r="448">
      <c r="B448" s="11" t="str">
        <f>Movies!C447</f>
        <v/>
      </c>
      <c r="J448" s="58"/>
      <c r="W448" s="51"/>
      <c r="X448" s="5"/>
      <c r="Y448" s="5"/>
      <c r="Z448" s="5"/>
      <c r="AA448" s="5"/>
      <c r="AB448" s="5"/>
    </row>
    <row r="449">
      <c r="B449" s="11" t="str">
        <f>Movies!C448</f>
        <v/>
      </c>
      <c r="J449" s="58"/>
      <c r="W449" s="51"/>
      <c r="X449" s="5"/>
      <c r="Y449" s="5"/>
      <c r="Z449" s="5"/>
      <c r="AA449" s="5"/>
      <c r="AB449" s="5"/>
    </row>
    <row r="450">
      <c r="B450" s="11" t="str">
        <f>Movies!C449</f>
        <v/>
      </c>
      <c r="J450" s="58"/>
      <c r="W450" s="51"/>
      <c r="X450" s="5"/>
      <c r="Y450" s="5"/>
      <c r="Z450" s="5"/>
      <c r="AA450" s="5"/>
      <c r="AB450" s="5"/>
    </row>
    <row r="451">
      <c r="B451" s="11" t="str">
        <f>Movies!C450</f>
        <v/>
      </c>
      <c r="J451" s="58"/>
      <c r="W451" s="51"/>
      <c r="X451" s="5"/>
      <c r="Y451" s="5"/>
      <c r="Z451" s="5"/>
      <c r="AA451" s="5"/>
      <c r="AB451" s="5"/>
    </row>
    <row r="452">
      <c r="B452" s="11" t="str">
        <f>Movies!C451</f>
        <v/>
      </c>
      <c r="J452" s="58"/>
      <c r="W452" s="51"/>
      <c r="X452" s="5"/>
      <c r="Y452" s="5"/>
      <c r="Z452" s="5"/>
      <c r="AA452" s="5"/>
      <c r="AB452" s="5"/>
    </row>
    <row r="453">
      <c r="B453" s="11" t="str">
        <f>Movies!C452</f>
        <v/>
      </c>
      <c r="J453" s="58"/>
      <c r="W453" s="51"/>
      <c r="X453" s="5"/>
      <c r="Y453" s="5"/>
      <c r="Z453" s="5"/>
      <c r="AA453" s="5"/>
      <c r="AB453" s="5"/>
    </row>
    <row r="454">
      <c r="B454" s="11" t="str">
        <f>Movies!C453</f>
        <v/>
      </c>
      <c r="J454" s="58"/>
      <c r="W454" s="51"/>
      <c r="X454" s="5"/>
      <c r="Y454" s="5"/>
      <c r="Z454" s="5"/>
      <c r="AA454" s="5"/>
      <c r="AB454" s="5"/>
    </row>
    <row r="455">
      <c r="B455" s="11" t="str">
        <f>Movies!C454</f>
        <v/>
      </c>
      <c r="J455" s="58"/>
      <c r="W455" s="51"/>
      <c r="X455" s="5"/>
      <c r="Y455" s="5"/>
      <c r="Z455" s="5"/>
      <c r="AA455" s="5"/>
      <c r="AB455" s="5"/>
    </row>
    <row r="456">
      <c r="B456" s="11" t="str">
        <f>Movies!C455</f>
        <v/>
      </c>
      <c r="J456" s="58"/>
      <c r="W456" s="51"/>
      <c r="X456" s="5"/>
      <c r="Y456" s="5"/>
      <c r="Z456" s="5"/>
      <c r="AA456" s="5"/>
      <c r="AB456" s="5"/>
    </row>
    <row r="457">
      <c r="B457" s="11" t="str">
        <f>Movies!C456</f>
        <v/>
      </c>
      <c r="J457" s="58"/>
      <c r="W457" s="51"/>
      <c r="X457" s="5"/>
      <c r="Y457" s="5"/>
      <c r="Z457" s="5"/>
      <c r="AA457" s="5"/>
      <c r="AB457" s="5"/>
    </row>
    <row r="458">
      <c r="B458" s="11" t="str">
        <f>Movies!C457</f>
        <v/>
      </c>
      <c r="J458" s="58"/>
      <c r="W458" s="51"/>
      <c r="X458" s="5"/>
      <c r="Y458" s="5"/>
      <c r="Z458" s="5"/>
      <c r="AA458" s="5"/>
      <c r="AB458" s="5"/>
    </row>
    <row r="459">
      <c r="B459" s="11" t="str">
        <f>Movies!C458</f>
        <v/>
      </c>
      <c r="J459" s="58"/>
      <c r="W459" s="51"/>
      <c r="X459" s="5"/>
      <c r="Y459" s="5"/>
      <c r="Z459" s="5"/>
      <c r="AA459" s="5"/>
      <c r="AB459" s="5"/>
    </row>
    <row r="460">
      <c r="B460" s="11" t="str">
        <f>Movies!C459</f>
        <v/>
      </c>
      <c r="J460" s="58"/>
      <c r="W460" s="51"/>
      <c r="X460" s="5"/>
      <c r="Y460" s="5"/>
      <c r="Z460" s="5"/>
      <c r="AA460" s="5"/>
      <c r="AB460" s="5"/>
    </row>
    <row r="461">
      <c r="B461" s="11" t="str">
        <f>Movies!C460</f>
        <v/>
      </c>
      <c r="J461" s="58"/>
      <c r="W461" s="51"/>
      <c r="X461" s="5"/>
      <c r="Y461" s="5"/>
      <c r="Z461" s="5"/>
      <c r="AA461" s="5"/>
      <c r="AB461" s="5"/>
    </row>
    <row r="462">
      <c r="B462" s="11" t="str">
        <f>Movies!C461</f>
        <v/>
      </c>
      <c r="J462" s="58"/>
      <c r="W462" s="51"/>
      <c r="X462" s="5"/>
      <c r="Y462" s="5"/>
      <c r="Z462" s="5"/>
      <c r="AA462" s="5"/>
      <c r="AB462" s="5"/>
    </row>
    <row r="463">
      <c r="B463" s="11" t="str">
        <f>Movies!C462</f>
        <v/>
      </c>
      <c r="J463" s="58"/>
      <c r="W463" s="51"/>
      <c r="X463" s="5"/>
      <c r="Y463" s="5"/>
      <c r="Z463" s="5"/>
      <c r="AA463" s="5"/>
      <c r="AB463" s="5"/>
    </row>
    <row r="464">
      <c r="B464" s="11" t="str">
        <f>Movies!C463</f>
        <v/>
      </c>
      <c r="J464" s="58"/>
      <c r="W464" s="51"/>
      <c r="X464" s="5"/>
      <c r="Y464" s="5"/>
      <c r="Z464" s="5"/>
      <c r="AA464" s="5"/>
      <c r="AB464" s="5"/>
    </row>
    <row r="465">
      <c r="B465" s="11" t="str">
        <f>Movies!C464</f>
        <v/>
      </c>
      <c r="J465" s="58"/>
      <c r="W465" s="51"/>
      <c r="X465" s="5"/>
      <c r="Y465" s="5"/>
      <c r="Z465" s="5"/>
      <c r="AA465" s="5"/>
      <c r="AB465" s="5"/>
    </row>
    <row r="466">
      <c r="B466" s="11" t="str">
        <f>Movies!C465</f>
        <v/>
      </c>
      <c r="J466" s="58"/>
      <c r="W466" s="51"/>
      <c r="X466" s="5"/>
      <c r="Y466" s="5"/>
      <c r="Z466" s="5"/>
      <c r="AA466" s="5"/>
      <c r="AB466" s="5"/>
    </row>
    <row r="467">
      <c r="B467" s="11" t="str">
        <f>Movies!C466</f>
        <v/>
      </c>
      <c r="J467" s="58"/>
      <c r="W467" s="51"/>
      <c r="X467" s="5"/>
      <c r="Y467" s="5"/>
      <c r="Z467" s="5"/>
      <c r="AA467" s="5"/>
      <c r="AB467" s="5"/>
    </row>
    <row r="468">
      <c r="B468" s="11" t="str">
        <f>Movies!C467</f>
        <v/>
      </c>
      <c r="J468" s="58"/>
      <c r="W468" s="51"/>
      <c r="X468" s="5"/>
      <c r="Y468" s="5"/>
      <c r="Z468" s="5"/>
      <c r="AA468" s="5"/>
      <c r="AB468" s="5"/>
    </row>
    <row r="469">
      <c r="B469" s="11" t="str">
        <f>Movies!C468</f>
        <v/>
      </c>
      <c r="J469" s="58"/>
      <c r="W469" s="51"/>
      <c r="X469" s="5"/>
      <c r="Y469" s="5"/>
      <c r="Z469" s="5"/>
      <c r="AA469" s="5"/>
      <c r="AB469" s="5"/>
    </row>
    <row r="470">
      <c r="B470" s="11" t="str">
        <f>Movies!C469</f>
        <v/>
      </c>
      <c r="J470" s="58"/>
      <c r="W470" s="51"/>
      <c r="X470" s="5"/>
      <c r="Y470" s="5"/>
      <c r="Z470" s="5"/>
      <c r="AA470" s="5"/>
      <c r="AB470" s="5"/>
    </row>
    <row r="471">
      <c r="B471" s="11" t="str">
        <f>Movies!C470</f>
        <v/>
      </c>
      <c r="J471" s="58"/>
      <c r="W471" s="51"/>
      <c r="X471" s="5"/>
      <c r="Y471" s="5"/>
      <c r="Z471" s="5"/>
      <c r="AA471" s="5"/>
      <c r="AB471" s="5"/>
    </row>
    <row r="472">
      <c r="B472" s="11" t="str">
        <f>Movies!C471</f>
        <v/>
      </c>
      <c r="J472" s="58"/>
      <c r="W472" s="51"/>
      <c r="X472" s="5"/>
      <c r="Y472" s="5"/>
      <c r="Z472" s="5"/>
      <c r="AA472" s="5"/>
      <c r="AB472" s="5"/>
    </row>
    <row r="473">
      <c r="B473" s="11" t="str">
        <f>Movies!C472</f>
        <v/>
      </c>
      <c r="J473" s="58"/>
      <c r="W473" s="51"/>
      <c r="X473" s="5"/>
      <c r="Y473" s="5"/>
      <c r="Z473" s="5"/>
      <c r="AA473" s="5"/>
      <c r="AB473" s="5"/>
    </row>
    <row r="474">
      <c r="B474" s="11" t="str">
        <f>Movies!C473</f>
        <v/>
      </c>
      <c r="J474" s="58"/>
      <c r="W474" s="51"/>
      <c r="X474" s="5"/>
      <c r="Y474" s="5"/>
      <c r="Z474" s="5"/>
      <c r="AA474" s="5"/>
      <c r="AB474" s="5"/>
    </row>
    <row r="475">
      <c r="B475" s="11" t="str">
        <f>Movies!C474</f>
        <v/>
      </c>
      <c r="J475" s="58"/>
      <c r="W475" s="51"/>
      <c r="X475" s="5"/>
      <c r="Y475" s="5"/>
      <c r="Z475" s="5"/>
      <c r="AA475" s="5"/>
      <c r="AB475" s="5"/>
    </row>
    <row r="476">
      <c r="B476" s="11" t="str">
        <f>Movies!C475</f>
        <v/>
      </c>
      <c r="J476" s="58"/>
      <c r="W476" s="51"/>
      <c r="X476" s="5"/>
      <c r="Y476" s="5"/>
      <c r="Z476" s="5"/>
      <c r="AA476" s="5"/>
      <c r="AB476" s="5"/>
    </row>
    <row r="477">
      <c r="B477" s="11" t="str">
        <f>Movies!C476</f>
        <v/>
      </c>
      <c r="J477" s="58"/>
      <c r="W477" s="51"/>
      <c r="X477" s="5"/>
      <c r="Y477" s="5"/>
      <c r="Z477" s="5"/>
      <c r="AA477" s="5"/>
      <c r="AB477" s="5"/>
    </row>
    <row r="478">
      <c r="B478" s="11" t="str">
        <f>Movies!C477</f>
        <v/>
      </c>
      <c r="J478" s="58"/>
      <c r="W478" s="51"/>
      <c r="X478" s="5"/>
      <c r="Y478" s="5"/>
      <c r="Z478" s="5"/>
      <c r="AA478" s="5"/>
      <c r="AB478" s="5"/>
    </row>
    <row r="479">
      <c r="B479" s="11" t="str">
        <f>Movies!C478</f>
        <v/>
      </c>
      <c r="J479" s="58"/>
      <c r="W479" s="51"/>
      <c r="X479" s="5"/>
      <c r="Y479" s="5"/>
      <c r="Z479" s="5"/>
      <c r="AA479" s="5"/>
      <c r="AB479" s="5"/>
    </row>
    <row r="480">
      <c r="B480" s="11" t="str">
        <f>Movies!C479</f>
        <v/>
      </c>
      <c r="J480" s="58"/>
      <c r="W480" s="51"/>
      <c r="X480" s="5"/>
      <c r="Y480" s="5"/>
      <c r="Z480" s="5"/>
      <c r="AA480" s="5"/>
      <c r="AB480" s="5"/>
    </row>
    <row r="481">
      <c r="B481" s="11" t="str">
        <f>Movies!C480</f>
        <v/>
      </c>
      <c r="J481" s="58"/>
      <c r="W481" s="51"/>
      <c r="X481" s="5"/>
      <c r="Y481" s="5"/>
      <c r="Z481" s="5"/>
      <c r="AA481" s="5"/>
      <c r="AB481" s="5"/>
    </row>
    <row r="482">
      <c r="B482" s="11" t="str">
        <f>Movies!C481</f>
        <v/>
      </c>
      <c r="J482" s="58"/>
      <c r="W482" s="51"/>
      <c r="X482" s="5"/>
      <c r="Y482" s="5"/>
      <c r="Z482" s="5"/>
      <c r="AA482" s="5"/>
      <c r="AB482" s="5"/>
    </row>
    <row r="483">
      <c r="B483" s="11" t="str">
        <f>Movies!C482</f>
        <v/>
      </c>
      <c r="J483" s="58"/>
      <c r="W483" s="51"/>
      <c r="X483" s="5"/>
      <c r="Y483" s="5"/>
      <c r="Z483" s="5"/>
      <c r="AA483" s="5"/>
      <c r="AB483" s="5"/>
    </row>
    <row r="484">
      <c r="B484" s="11" t="str">
        <f>Movies!C483</f>
        <v/>
      </c>
      <c r="J484" s="58"/>
      <c r="W484" s="51"/>
      <c r="X484" s="5"/>
      <c r="Y484" s="5"/>
      <c r="Z484" s="5"/>
      <c r="AA484" s="5"/>
      <c r="AB484" s="5"/>
    </row>
    <row r="485">
      <c r="B485" s="11" t="str">
        <f>Movies!C484</f>
        <v/>
      </c>
      <c r="J485" s="58"/>
      <c r="W485" s="51"/>
      <c r="X485" s="5"/>
      <c r="Y485" s="5"/>
      <c r="Z485" s="5"/>
      <c r="AA485" s="5"/>
      <c r="AB485" s="5"/>
    </row>
    <row r="486">
      <c r="B486" s="11" t="str">
        <f>Movies!C485</f>
        <v/>
      </c>
      <c r="J486" s="58"/>
      <c r="W486" s="51"/>
      <c r="X486" s="5"/>
      <c r="Y486" s="5"/>
      <c r="Z486" s="5"/>
      <c r="AA486" s="5"/>
      <c r="AB486" s="5"/>
    </row>
    <row r="487">
      <c r="B487" s="11" t="str">
        <f>Movies!C486</f>
        <v/>
      </c>
      <c r="J487" s="58"/>
      <c r="W487" s="51"/>
      <c r="X487" s="5"/>
      <c r="Y487" s="5"/>
      <c r="Z487" s="5"/>
      <c r="AA487" s="5"/>
      <c r="AB487" s="5"/>
    </row>
    <row r="488">
      <c r="B488" s="11" t="str">
        <f>Movies!C487</f>
        <v/>
      </c>
      <c r="J488" s="58"/>
      <c r="W488" s="51"/>
      <c r="X488" s="5"/>
      <c r="Y488" s="5"/>
      <c r="Z488" s="5"/>
      <c r="AA488" s="5"/>
      <c r="AB488" s="5"/>
    </row>
    <row r="489">
      <c r="B489" s="11" t="str">
        <f>Movies!C488</f>
        <v/>
      </c>
      <c r="J489" s="58"/>
      <c r="W489" s="51"/>
      <c r="X489" s="5"/>
      <c r="Y489" s="5"/>
      <c r="Z489" s="5"/>
      <c r="AA489" s="5"/>
      <c r="AB489" s="5"/>
    </row>
    <row r="490">
      <c r="B490" s="11" t="str">
        <f>Movies!C489</f>
        <v/>
      </c>
      <c r="J490" s="58"/>
      <c r="W490" s="51"/>
      <c r="X490" s="5"/>
      <c r="Y490" s="5"/>
      <c r="Z490" s="5"/>
      <c r="AA490" s="5"/>
      <c r="AB490" s="5"/>
    </row>
    <row r="491">
      <c r="B491" s="11" t="str">
        <f>Movies!C490</f>
        <v/>
      </c>
      <c r="J491" s="58"/>
      <c r="W491" s="51"/>
      <c r="X491" s="5"/>
      <c r="Y491" s="5"/>
      <c r="Z491" s="5"/>
      <c r="AA491" s="5"/>
      <c r="AB491" s="5"/>
    </row>
    <row r="492">
      <c r="B492" s="11" t="str">
        <f>Movies!C491</f>
        <v/>
      </c>
      <c r="J492" s="58"/>
      <c r="W492" s="51"/>
      <c r="X492" s="5"/>
      <c r="Y492" s="5"/>
      <c r="Z492" s="5"/>
      <c r="AA492" s="5"/>
      <c r="AB492" s="5"/>
    </row>
    <row r="493">
      <c r="B493" s="11" t="str">
        <f>Movies!C492</f>
        <v/>
      </c>
      <c r="J493" s="58"/>
      <c r="W493" s="51"/>
      <c r="X493" s="5"/>
      <c r="Y493" s="5"/>
      <c r="Z493" s="5"/>
      <c r="AA493" s="5"/>
      <c r="AB493" s="5"/>
    </row>
    <row r="494">
      <c r="B494" s="11" t="str">
        <f>Movies!C493</f>
        <v/>
      </c>
      <c r="J494" s="58"/>
      <c r="W494" s="51"/>
      <c r="X494" s="5"/>
      <c r="Y494" s="5"/>
      <c r="Z494" s="5"/>
      <c r="AA494" s="5"/>
      <c r="AB494" s="5"/>
    </row>
    <row r="495">
      <c r="B495" s="11" t="str">
        <f>Movies!C494</f>
        <v/>
      </c>
      <c r="J495" s="58"/>
      <c r="W495" s="51"/>
      <c r="X495" s="5"/>
      <c r="Y495" s="5"/>
      <c r="Z495" s="5"/>
      <c r="AA495" s="5"/>
      <c r="AB495" s="5"/>
    </row>
    <row r="496">
      <c r="B496" s="11" t="str">
        <f>Movies!C495</f>
        <v/>
      </c>
      <c r="J496" s="58"/>
      <c r="W496" s="51"/>
      <c r="X496" s="5"/>
      <c r="Y496" s="5"/>
      <c r="Z496" s="5"/>
      <c r="AA496" s="5"/>
      <c r="AB496" s="5"/>
    </row>
    <row r="497">
      <c r="B497" s="11" t="str">
        <f>Movies!C496</f>
        <v/>
      </c>
      <c r="J497" s="58"/>
      <c r="W497" s="51"/>
      <c r="X497" s="5"/>
      <c r="Y497" s="5"/>
      <c r="Z497" s="5"/>
      <c r="AA497" s="5"/>
      <c r="AB497" s="5"/>
    </row>
    <row r="498">
      <c r="B498" s="11" t="str">
        <f>Movies!C497</f>
        <v/>
      </c>
      <c r="J498" s="58"/>
      <c r="W498" s="51"/>
      <c r="X498" s="5"/>
      <c r="Y498" s="5"/>
      <c r="Z498" s="5"/>
      <c r="AA498" s="5"/>
      <c r="AB498" s="5"/>
    </row>
    <row r="499">
      <c r="B499" s="11" t="str">
        <f>Movies!C498</f>
        <v/>
      </c>
      <c r="J499" s="58"/>
      <c r="W499" s="51"/>
      <c r="X499" s="5"/>
      <c r="Y499" s="5"/>
      <c r="Z499" s="5"/>
      <c r="AA499" s="5"/>
      <c r="AB499" s="5"/>
    </row>
    <row r="500">
      <c r="B500" s="11" t="str">
        <f>Movies!C499</f>
        <v/>
      </c>
      <c r="J500" s="58"/>
      <c r="W500" s="51"/>
      <c r="X500" s="5"/>
      <c r="Y500" s="5"/>
      <c r="Z500" s="5"/>
      <c r="AA500" s="5"/>
      <c r="AB500" s="5"/>
    </row>
    <row r="501">
      <c r="B501" s="11" t="str">
        <f>Movies!C500</f>
        <v/>
      </c>
      <c r="J501" s="58"/>
      <c r="W501" s="51"/>
      <c r="X501" s="5"/>
      <c r="Y501" s="5"/>
      <c r="Z501" s="5"/>
      <c r="AA501" s="5"/>
      <c r="AB501" s="5"/>
    </row>
    <row r="502">
      <c r="B502" s="11" t="str">
        <f>Movies!C501</f>
        <v/>
      </c>
      <c r="J502" s="58"/>
      <c r="W502" s="51"/>
      <c r="X502" s="5"/>
      <c r="Y502" s="5"/>
      <c r="Z502" s="5"/>
      <c r="AA502" s="5"/>
      <c r="AB502" s="5"/>
    </row>
    <row r="503">
      <c r="B503" s="11" t="str">
        <f>Movies!C502</f>
        <v/>
      </c>
      <c r="J503" s="58"/>
      <c r="W503" s="51"/>
      <c r="X503" s="5"/>
      <c r="Y503" s="5"/>
      <c r="Z503" s="5"/>
      <c r="AA503" s="5"/>
      <c r="AB503" s="5"/>
    </row>
    <row r="504">
      <c r="B504" s="11" t="str">
        <f>Movies!C503</f>
        <v/>
      </c>
      <c r="J504" s="58"/>
      <c r="W504" s="51"/>
      <c r="X504" s="5"/>
      <c r="Y504" s="5"/>
      <c r="Z504" s="5"/>
      <c r="AA504" s="5"/>
      <c r="AB504" s="5"/>
    </row>
    <row r="505">
      <c r="B505" s="11" t="str">
        <f>Movies!C504</f>
        <v/>
      </c>
      <c r="J505" s="58"/>
      <c r="W505" s="51"/>
      <c r="X505" s="5"/>
      <c r="Y505" s="5"/>
      <c r="Z505" s="5"/>
      <c r="AA505" s="5"/>
      <c r="AB505" s="5"/>
    </row>
    <row r="506">
      <c r="B506" s="11" t="str">
        <f>Movies!C505</f>
        <v/>
      </c>
      <c r="J506" s="58"/>
      <c r="W506" s="51"/>
      <c r="X506" s="5"/>
      <c r="Y506" s="5"/>
      <c r="Z506" s="5"/>
      <c r="AA506" s="5"/>
      <c r="AB506" s="5"/>
    </row>
    <row r="507">
      <c r="B507" s="11" t="str">
        <f>Movies!C506</f>
        <v/>
      </c>
      <c r="J507" s="58"/>
      <c r="W507" s="51"/>
      <c r="X507" s="5"/>
      <c r="Y507" s="5"/>
      <c r="Z507" s="5"/>
      <c r="AA507" s="5"/>
      <c r="AB507" s="5"/>
    </row>
    <row r="508">
      <c r="B508" s="11" t="str">
        <f>Movies!C507</f>
        <v/>
      </c>
      <c r="J508" s="58"/>
      <c r="W508" s="51"/>
      <c r="X508" s="5"/>
      <c r="Y508" s="5"/>
      <c r="Z508" s="5"/>
      <c r="AA508" s="5"/>
      <c r="AB508" s="5"/>
    </row>
    <row r="509">
      <c r="B509" s="11" t="str">
        <f>Movies!C508</f>
        <v/>
      </c>
      <c r="J509" s="58"/>
      <c r="W509" s="51"/>
      <c r="X509" s="5"/>
      <c r="Y509" s="5"/>
      <c r="Z509" s="5"/>
      <c r="AA509" s="5"/>
      <c r="AB509" s="5"/>
    </row>
    <row r="510">
      <c r="B510" s="11" t="str">
        <f>Movies!C509</f>
        <v/>
      </c>
      <c r="J510" s="58"/>
      <c r="W510" s="51"/>
      <c r="X510" s="5"/>
      <c r="Y510" s="5"/>
      <c r="Z510" s="5"/>
      <c r="AA510" s="5"/>
      <c r="AB510" s="5"/>
    </row>
    <row r="511">
      <c r="B511" s="11" t="str">
        <f>Movies!C510</f>
        <v/>
      </c>
      <c r="J511" s="58"/>
      <c r="W511" s="51"/>
      <c r="X511" s="5"/>
      <c r="Y511" s="5"/>
      <c r="Z511" s="5"/>
      <c r="AA511" s="5"/>
      <c r="AB511" s="5"/>
    </row>
    <row r="512">
      <c r="B512" s="11" t="str">
        <f>Movies!C511</f>
        <v/>
      </c>
      <c r="J512" s="58"/>
      <c r="W512" s="51"/>
      <c r="X512" s="5"/>
      <c r="Y512" s="5"/>
      <c r="Z512" s="5"/>
      <c r="AA512" s="5"/>
      <c r="AB512" s="5"/>
    </row>
    <row r="513">
      <c r="B513" s="11" t="str">
        <f>Movies!C512</f>
        <v/>
      </c>
      <c r="J513" s="58"/>
      <c r="W513" s="51"/>
      <c r="X513" s="5"/>
      <c r="Y513" s="5"/>
      <c r="Z513" s="5"/>
      <c r="AA513" s="5"/>
      <c r="AB513" s="5"/>
    </row>
    <row r="514">
      <c r="B514" s="11" t="str">
        <f>Movies!C513</f>
        <v/>
      </c>
      <c r="J514" s="58"/>
      <c r="W514" s="51"/>
      <c r="X514" s="5"/>
      <c r="Y514" s="5"/>
      <c r="Z514" s="5"/>
      <c r="AA514" s="5"/>
      <c r="AB514" s="5"/>
    </row>
    <row r="515">
      <c r="B515" s="11" t="str">
        <f>Movies!C514</f>
        <v/>
      </c>
      <c r="J515" s="58"/>
      <c r="W515" s="51"/>
      <c r="X515" s="5"/>
      <c r="Y515" s="5"/>
      <c r="Z515" s="5"/>
      <c r="AA515" s="5"/>
      <c r="AB515" s="5"/>
    </row>
    <row r="516">
      <c r="B516" s="11" t="str">
        <f>Movies!C515</f>
        <v/>
      </c>
      <c r="J516" s="58"/>
      <c r="W516" s="51"/>
      <c r="X516" s="5"/>
      <c r="Y516" s="5"/>
      <c r="Z516" s="5"/>
      <c r="AA516" s="5"/>
      <c r="AB516" s="5"/>
    </row>
    <row r="517">
      <c r="B517" s="11" t="str">
        <f>Movies!C516</f>
        <v/>
      </c>
      <c r="J517" s="58"/>
      <c r="W517" s="51"/>
      <c r="X517" s="5"/>
      <c r="Y517" s="5"/>
      <c r="Z517" s="5"/>
      <c r="AA517" s="5"/>
      <c r="AB517" s="5"/>
    </row>
    <row r="518">
      <c r="B518" s="11" t="str">
        <f>Movies!C517</f>
        <v/>
      </c>
      <c r="J518" s="58"/>
      <c r="W518" s="51"/>
      <c r="X518" s="5"/>
      <c r="Y518" s="5"/>
      <c r="Z518" s="5"/>
      <c r="AA518" s="5"/>
      <c r="AB518" s="5"/>
    </row>
    <row r="519">
      <c r="B519" s="11" t="str">
        <f>Movies!C518</f>
        <v/>
      </c>
      <c r="J519" s="58"/>
      <c r="W519" s="51"/>
      <c r="X519" s="5"/>
      <c r="Y519" s="5"/>
      <c r="Z519" s="5"/>
      <c r="AA519" s="5"/>
      <c r="AB519" s="5"/>
    </row>
    <row r="520">
      <c r="B520" s="11" t="str">
        <f>Movies!C519</f>
        <v/>
      </c>
      <c r="J520" s="58"/>
      <c r="W520" s="51"/>
      <c r="X520" s="5"/>
      <c r="Y520" s="5"/>
      <c r="Z520" s="5"/>
      <c r="AA520" s="5"/>
      <c r="AB520" s="5"/>
    </row>
    <row r="521">
      <c r="B521" s="11" t="str">
        <f>Movies!C520</f>
        <v/>
      </c>
      <c r="J521" s="58"/>
      <c r="W521" s="51"/>
      <c r="X521" s="5"/>
      <c r="Y521" s="5"/>
      <c r="Z521" s="5"/>
      <c r="AA521" s="5"/>
      <c r="AB521" s="5"/>
    </row>
    <row r="522">
      <c r="B522" s="11" t="str">
        <f>Movies!C521</f>
        <v/>
      </c>
      <c r="J522" s="58"/>
      <c r="W522" s="51"/>
      <c r="X522" s="5"/>
      <c r="Y522" s="5"/>
      <c r="Z522" s="5"/>
      <c r="AA522" s="5"/>
      <c r="AB522" s="5"/>
    </row>
    <row r="523">
      <c r="B523" s="11" t="str">
        <f>Movies!C522</f>
        <v/>
      </c>
      <c r="J523" s="58"/>
      <c r="W523" s="51"/>
      <c r="X523" s="5"/>
      <c r="Y523" s="5"/>
      <c r="Z523" s="5"/>
      <c r="AA523" s="5"/>
      <c r="AB523" s="5"/>
    </row>
    <row r="524">
      <c r="B524" s="11" t="str">
        <f>Movies!C523</f>
        <v/>
      </c>
      <c r="J524" s="58"/>
      <c r="W524" s="51"/>
      <c r="X524" s="5"/>
      <c r="Y524" s="5"/>
      <c r="Z524" s="5"/>
      <c r="AA524" s="5"/>
      <c r="AB524" s="5"/>
    </row>
    <row r="525">
      <c r="B525" s="11" t="str">
        <f>Movies!C524</f>
        <v/>
      </c>
      <c r="J525" s="58"/>
      <c r="W525" s="51"/>
      <c r="X525" s="5"/>
      <c r="Y525" s="5"/>
      <c r="Z525" s="5"/>
      <c r="AA525" s="5"/>
      <c r="AB525" s="5"/>
    </row>
    <row r="526">
      <c r="B526" s="11" t="str">
        <f>Movies!C525</f>
        <v/>
      </c>
      <c r="J526" s="58"/>
      <c r="W526" s="51"/>
      <c r="X526" s="5"/>
      <c r="Y526" s="5"/>
      <c r="Z526" s="5"/>
      <c r="AA526" s="5"/>
      <c r="AB526" s="5"/>
    </row>
    <row r="527">
      <c r="B527" s="11" t="str">
        <f>Movies!C526</f>
        <v/>
      </c>
      <c r="J527" s="58"/>
      <c r="W527" s="51"/>
      <c r="X527" s="5"/>
      <c r="Y527" s="5"/>
      <c r="Z527" s="5"/>
      <c r="AA527" s="5"/>
      <c r="AB527" s="5"/>
    </row>
    <row r="528">
      <c r="B528" s="11" t="str">
        <f>Movies!C527</f>
        <v/>
      </c>
      <c r="J528" s="58"/>
      <c r="W528" s="51"/>
      <c r="X528" s="5"/>
      <c r="Y528" s="5"/>
      <c r="Z528" s="5"/>
      <c r="AA528" s="5"/>
      <c r="AB528" s="5"/>
    </row>
    <row r="529">
      <c r="B529" s="11" t="str">
        <f>Movies!C528</f>
        <v/>
      </c>
      <c r="J529" s="58"/>
      <c r="W529" s="51"/>
      <c r="X529" s="5"/>
      <c r="Y529" s="5"/>
      <c r="Z529" s="5"/>
      <c r="AA529" s="5"/>
      <c r="AB529" s="5"/>
    </row>
    <row r="530">
      <c r="B530" s="11" t="str">
        <f>Movies!C529</f>
        <v/>
      </c>
      <c r="J530" s="58"/>
      <c r="W530" s="51"/>
      <c r="X530" s="5"/>
      <c r="Y530" s="5"/>
      <c r="Z530" s="5"/>
      <c r="AA530" s="5"/>
      <c r="AB530" s="5"/>
    </row>
    <row r="531">
      <c r="B531" s="11" t="str">
        <f>Movies!C530</f>
        <v/>
      </c>
      <c r="J531" s="58"/>
      <c r="W531" s="51"/>
      <c r="X531" s="5"/>
      <c r="Y531" s="5"/>
      <c r="Z531" s="5"/>
      <c r="AA531" s="5"/>
      <c r="AB531" s="5"/>
    </row>
    <row r="532">
      <c r="B532" s="11" t="str">
        <f>Movies!C531</f>
        <v/>
      </c>
      <c r="J532" s="58"/>
      <c r="W532" s="51"/>
      <c r="X532" s="5"/>
      <c r="Y532" s="5"/>
      <c r="Z532" s="5"/>
      <c r="AA532" s="5"/>
      <c r="AB532" s="5"/>
    </row>
    <row r="533">
      <c r="B533" s="11" t="str">
        <f>Movies!C532</f>
        <v/>
      </c>
      <c r="J533" s="58"/>
      <c r="W533" s="51"/>
      <c r="X533" s="5"/>
      <c r="Y533" s="5"/>
      <c r="Z533" s="5"/>
      <c r="AA533" s="5"/>
      <c r="AB533" s="5"/>
    </row>
    <row r="534">
      <c r="B534" s="11" t="str">
        <f>Movies!C533</f>
        <v/>
      </c>
      <c r="J534" s="58"/>
      <c r="W534" s="51"/>
      <c r="X534" s="5"/>
      <c r="Y534" s="5"/>
      <c r="Z534" s="5"/>
      <c r="AA534" s="5"/>
      <c r="AB534" s="5"/>
    </row>
    <row r="535">
      <c r="B535" s="11" t="str">
        <f>Movies!C534</f>
        <v/>
      </c>
      <c r="J535" s="58"/>
      <c r="W535" s="51"/>
      <c r="X535" s="5"/>
      <c r="Y535" s="5"/>
      <c r="Z535" s="5"/>
      <c r="AA535" s="5"/>
      <c r="AB535" s="5"/>
    </row>
    <row r="536">
      <c r="B536" s="11" t="str">
        <f>Movies!C535</f>
        <v/>
      </c>
      <c r="J536" s="58"/>
      <c r="W536" s="51"/>
      <c r="X536" s="5"/>
      <c r="Y536" s="5"/>
      <c r="Z536" s="5"/>
      <c r="AA536" s="5"/>
      <c r="AB536" s="5"/>
    </row>
    <row r="537">
      <c r="B537" s="11" t="str">
        <f>Movies!C536</f>
        <v/>
      </c>
      <c r="J537" s="58"/>
      <c r="W537" s="51"/>
      <c r="X537" s="5"/>
      <c r="Y537" s="5"/>
      <c r="Z537" s="5"/>
      <c r="AA537" s="5"/>
      <c r="AB537" s="5"/>
    </row>
    <row r="538">
      <c r="B538" s="11" t="str">
        <f>Movies!C537</f>
        <v/>
      </c>
      <c r="J538" s="58"/>
      <c r="W538" s="51"/>
      <c r="X538" s="5"/>
      <c r="Y538" s="5"/>
      <c r="Z538" s="5"/>
      <c r="AA538" s="5"/>
      <c r="AB538" s="5"/>
    </row>
    <row r="539">
      <c r="B539" s="11" t="str">
        <f>Movies!C538</f>
        <v/>
      </c>
      <c r="J539" s="58"/>
      <c r="W539" s="51"/>
      <c r="X539" s="5"/>
      <c r="Y539" s="5"/>
      <c r="Z539" s="5"/>
      <c r="AA539" s="5"/>
      <c r="AB539" s="5"/>
    </row>
    <row r="540">
      <c r="B540" s="11" t="str">
        <f>Movies!C539</f>
        <v/>
      </c>
      <c r="J540" s="58"/>
      <c r="W540" s="51"/>
      <c r="X540" s="5"/>
      <c r="Y540" s="5"/>
      <c r="Z540" s="5"/>
      <c r="AA540" s="5"/>
      <c r="AB540" s="5"/>
    </row>
    <row r="541">
      <c r="B541" s="11" t="str">
        <f>Movies!C540</f>
        <v/>
      </c>
      <c r="J541" s="58"/>
      <c r="W541" s="51"/>
      <c r="X541" s="5"/>
      <c r="Y541" s="5"/>
      <c r="Z541" s="5"/>
      <c r="AA541" s="5"/>
      <c r="AB541" s="5"/>
    </row>
    <row r="542">
      <c r="B542" s="11" t="str">
        <f>Movies!C541</f>
        <v/>
      </c>
      <c r="J542" s="58"/>
      <c r="W542" s="51"/>
      <c r="X542" s="5"/>
      <c r="Y542" s="5"/>
      <c r="Z542" s="5"/>
      <c r="AA542" s="5"/>
      <c r="AB542" s="5"/>
    </row>
    <row r="543">
      <c r="B543" s="11" t="str">
        <f>Movies!C542</f>
        <v/>
      </c>
      <c r="J543" s="58"/>
      <c r="W543" s="51"/>
      <c r="X543" s="5"/>
      <c r="Y543" s="5"/>
      <c r="Z543" s="5"/>
      <c r="AA543" s="5"/>
      <c r="AB543" s="5"/>
    </row>
    <row r="544">
      <c r="B544" s="11" t="str">
        <f>Movies!C543</f>
        <v/>
      </c>
      <c r="J544" s="58"/>
      <c r="W544" s="51"/>
      <c r="X544" s="5"/>
      <c r="Y544" s="5"/>
      <c r="Z544" s="5"/>
      <c r="AA544" s="5"/>
      <c r="AB544" s="5"/>
    </row>
    <row r="545">
      <c r="B545" s="11" t="str">
        <f>Movies!C544</f>
        <v/>
      </c>
      <c r="J545" s="58"/>
      <c r="W545" s="51"/>
      <c r="X545" s="5"/>
      <c r="Y545" s="5"/>
      <c r="Z545" s="5"/>
      <c r="AA545" s="5"/>
      <c r="AB545" s="5"/>
    </row>
    <row r="546">
      <c r="B546" s="11" t="str">
        <f>Movies!C545</f>
        <v/>
      </c>
      <c r="J546" s="58"/>
      <c r="W546" s="51"/>
      <c r="X546" s="5"/>
      <c r="Y546" s="5"/>
      <c r="Z546" s="5"/>
      <c r="AA546" s="5"/>
      <c r="AB546" s="5"/>
    </row>
    <row r="547">
      <c r="B547" s="11" t="str">
        <f>Movies!C546</f>
        <v/>
      </c>
      <c r="J547" s="58"/>
      <c r="W547" s="51"/>
      <c r="X547" s="5"/>
      <c r="Y547" s="5"/>
      <c r="Z547" s="5"/>
      <c r="AA547" s="5"/>
      <c r="AB547" s="5"/>
    </row>
    <row r="548">
      <c r="B548" s="11" t="str">
        <f>Movies!C547</f>
        <v/>
      </c>
      <c r="J548" s="58"/>
      <c r="W548" s="51"/>
      <c r="X548" s="5"/>
      <c r="Y548" s="5"/>
      <c r="Z548" s="5"/>
      <c r="AA548" s="5"/>
      <c r="AB548" s="5"/>
    </row>
    <row r="549">
      <c r="B549" s="11" t="str">
        <f>Movies!C548</f>
        <v/>
      </c>
      <c r="J549" s="58"/>
      <c r="W549" s="51"/>
      <c r="X549" s="5"/>
      <c r="Y549" s="5"/>
      <c r="Z549" s="5"/>
      <c r="AA549" s="5"/>
      <c r="AB549" s="5"/>
    </row>
    <row r="550">
      <c r="B550" s="11" t="str">
        <f>Movies!C549</f>
        <v/>
      </c>
      <c r="J550" s="58"/>
      <c r="W550" s="51"/>
      <c r="X550" s="5"/>
      <c r="Y550" s="5"/>
      <c r="Z550" s="5"/>
      <c r="AA550" s="5"/>
      <c r="AB550" s="5"/>
    </row>
    <row r="551">
      <c r="B551" s="11" t="str">
        <f>Movies!C550</f>
        <v/>
      </c>
      <c r="J551" s="58"/>
      <c r="W551" s="51"/>
      <c r="X551" s="5"/>
      <c r="Y551" s="5"/>
      <c r="Z551" s="5"/>
      <c r="AA551" s="5"/>
      <c r="AB551" s="5"/>
    </row>
    <row r="552">
      <c r="B552" s="11" t="str">
        <f>Movies!C551</f>
        <v/>
      </c>
      <c r="J552" s="58"/>
      <c r="W552" s="51"/>
      <c r="X552" s="5"/>
      <c r="Y552" s="5"/>
      <c r="Z552" s="5"/>
      <c r="AA552" s="5"/>
      <c r="AB552" s="5"/>
    </row>
    <row r="553">
      <c r="B553" s="11" t="str">
        <f>Movies!C552</f>
        <v/>
      </c>
      <c r="J553" s="58"/>
      <c r="W553" s="51"/>
      <c r="X553" s="5"/>
      <c r="Y553" s="5"/>
      <c r="Z553" s="5"/>
      <c r="AA553" s="5"/>
      <c r="AB553" s="5"/>
    </row>
    <row r="554">
      <c r="B554" s="11" t="str">
        <f>Movies!C553</f>
        <v/>
      </c>
      <c r="J554" s="58"/>
      <c r="W554" s="51"/>
      <c r="X554" s="5"/>
      <c r="Y554" s="5"/>
      <c r="Z554" s="5"/>
      <c r="AA554" s="5"/>
      <c r="AB554" s="5"/>
    </row>
    <row r="555">
      <c r="B555" s="11" t="str">
        <f>Movies!C554</f>
        <v/>
      </c>
      <c r="J555" s="58"/>
      <c r="W555" s="51"/>
      <c r="X555" s="5"/>
      <c r="Y555" s="5"/>
      <c r="Z555" s="5"/>
      <c r="AA555" s="5"/>
      <c r="AB555" s="5"/>
    </row>
    <row r="556">
      <c r="B556" s="11" t="str">
        <f>Movies!C555</f>
        <v/>
      </c>
      <c r="J556" s="58"/>
      <c r="W556" s="51"/>
      <c r="X556" s="5"/>
      <c r="Y556" s="5"/>
      <c r="Z556" s="5"/>
      <c r="AA556" s="5"/>
      <c r="AB556" s="5"/>
    </row>
    <row r="557">
      <c r="B557" s="11" t="str">
        <f>Movies!C556</f>
        <v/>
      </c>
      <c r="J557" s="58"/>
      <c r="W557" s="51"/>
      <c r="X557" s="5"/>
      <c r="Y557" s="5"/>
      <c r="Z557" s="5"/>
      <c r="AA557" s="5"/>
      <c r="AB557" s="5"/>
    </row>
    <row r="558">
      <c r="B558" s="11" t="str">
        <f>Movies!C557</f>
        <v/>
      </c>
      <c r="J558" s="58"/>
      <c r="W558" s="51"/>
      <c r="X558" s="5"/>
      <c r="Y558" s="5"/>
      <c r="Z558" s="5"/>
      <c r="AA558" s="5"/>
      <c r="AB558" s="5"/>
    </row>
    <row r="559">
      <c r="B559" s="11" t="str">
        <f>Movies!C558</f>
        <v/>
      </c>
      <c r="J559" s="58"/>
      <c r="W559" s="51"/>
      <c r="X559" s="5"/>
      <c r="Y559" s="5"/>
      <c r="Z559" s="5"/>
      <c r="AA559" s="5"/>
      <c r="AB559" s="5"/>
    </row>
    <row r="560">
      <c r="B560" s="11" t="str">
        <f>Movies!C559</f>
        <v/>
      </c>
      <c r="J560" s="58"/>
      <c r="W560" s="51"/>
      <c r="X560" s="5"/>
      <c r="Y560" s="5"/>
      <c r="Z560" s="5"/>
      <c r="AA560" s="5"/>
      <c r="AB560" s="5"/>
    </row>
    <row r="561">
      <c r="B561" s="11" t="str">
        <f>Movies!C560</f>
        <v/>
      </c>
      <c r="J561" s="58"/>
      <c r="W561" s="51"/>
      <c r="X561" s="5"/>
      <c r="Y561" s="5"/>
      <c r="Z561" s="5"/>
      <c r="AA561" s="5"/>
      <c r="AB561" s="5"/>
    </row>
    <row r="562">
      <c r="B562" s="11" t="str">
        <f>Movies!C561</f>
        <v/>
      </c>
      <c r="J562" s="58"/>
      <c r="W562" s="51"/>
      <c r="X562" s="5"/>
      <c r="Y562" s="5"/>
      <c r="Z562" s="5"/>
      <c r="AA562" s="5"/>
      <c r="AB562" s="5"/>
    </row>
    <row r="563">
      <c r="B563" s="11" t="str">
        <f>Movies!C562</f>
        <v/>
      </c>
      <c r="J563" s="58"/>
      <c r="W563" s="51"/>
      <c r="X563" s="5"/>
      <c r="Y563" s="5"/>
      <c r="Z563" s="5"/>
      <c r="AA563" s="5"/>
      <c r="AB563" s="5"/>
    </row>
    <row r="564">
      <c r="B564" s="11" t="str">
        <f>Movies!C563</f>
        <v/>
      </c>
      <c r="J564" s="58"/>
      <c r="W564" s="51"/>
      <c r="X564" s="5"/>
      <c r="Y564" s="5"/>
      <c r="Z564" s="5"/>
      <c r="AA564" s="5"/>
      <c r="AB564" s="5"/>
    </row>
    <row r="565">
      <c r="B565" s="11" t="str">
        <f>Movies!C564</f>
        <v/>
      </c>
      <c r="J565" s="58"/>
      <c r="W565" s="51"/>
      <c r="X565" s="5"/>
      <c r="Y565" s="5"/>
      <c r="Z565" s="5"/>
      <c r="AA565" s="5"/>
      <c r="AB565" s="5"/>
    </row>
    <row r="566">
      <c r="B566" s="11" t="str">
        <f>Movies!C565</f>
        <v/>
      </c>
      <c r="J566" s="58"/>
      <c r="W566" s="51"/>
      <c r="X566" s="5"/>
      <c r="Y566" s="5"/>
      <c r="Z566" s="5"/>
      <c r="AA566" s="5"/>
      <c r="AB566" s="5"/>
    </row>
    <row r="567">
      <c r="B567" s="11" t="str">
        <f>Movies!C566</f>
        <v/>
      </c>
      <c r="J567" s="58"/>
      <c r="W567" s="51"/>
      <c r="X567" s="5"/>
      <c r="Y567" s="5"/>
      <c r="Z567" s="5"/>
      <c r="AA567" s="5"/>
      <c r="AB567" s="5"/>
    </row>
    <row r="568">
      <c r="B568" s="11" t="str">
        <f>Movies!C567</f>
        <v/>
      </c>
      <c r="J568" s="58"/>
      <c r="W568" s="51"/>
      <c r="X568" s="5"/>
      <c r="Y568" s="5"/>
      <c r="Z568" s="5"/>
      <c r="AA568" s="5"/>
      <c r="AB568" s="5"/>
    </row>
    <row r="569">
      <c r="B569" s="11" t="str">
        <f>Movies!C568</f>
        <v/>
      </c>
      <c r="J569" s="58"/>
      <c r="W569" s="51"/>
      <c r="X569" s="5"/>
      <c r="Y569" s="5"/>
      <c r="Z569" s="5"/>
      <c r="AA569" s="5"/>
      <c r="AB569" s="5"/>
    </row>
    <row r="570">
      <c r="B570" s="11" t="str">
        <f>Movies!C569</f>
        <v/>
      </c>
      <c r="J570" s="58"/>
      <c r="W570" s="51"/>
      <c r="X570" s="5"/>
      <c r="Y570" s="5"/>
      <c r="Z570" s="5"/>
      <c r="AA570" s="5"/>
      <c r="AB570" s="5"/>
    </row>
    <row r="571">
      <c r="B571" s="11" t="str">
        <f>Movies!C570</f>
        <v/>
      </c>
      <c r="J571" s="58"/>
      <c r="W571" s="51"/>
      <c r="X571" s="5"/>
      <c r="Y571" s="5"/>
      <c r="Z571" s="5"/>
      <c r="AA571" s="5"/>
      <c r="AB571" s="5"/>
    </row>
    <row r="572">
      <c r="B572" s="11" t="str">
        <f>Movies!C571</f>
        <v/>
      </c>
      <c r="J572" s="58"/>
      <c r="W572" s="51"/>
      <c r="X572" s="5"/>
      <c r="Y572" s="5"/>
      <c r="Z572" s="5"/>
      <c r="AA572" s="5"/>
      <c r="AB572" s="5"/>
    </row>
    <row r="573">
      <c r="B573" s="11" t="str">
        <f>Movies!C572</f>
        <v/>
      </c>
      <c r="J573" s="58"/>
      <c r="W573" s="51"/>
      <c r="X573" s="5"/>
      <c r="Y573" s="5"/>
      <c r="Z573" s="5"/>
      <c r="AA573" s="5"/>
      <c r="AB573" s="5"/>
    </row>
    <row r="574">
      <c r="B574" s="11" t="str">
        <f>Movies!C573</f>
        <v/>
      </c>
      <c r="J574" s="58"/>
      <c r="W574" s="51"/>
      <c r="X574" s="5"/>
      <c r="Y574" s="5"/>
      <c r="Z574" s="5"/>
      <c r="AA574" s="5"/>
      <c r="AB574" s="5"/>
    </row>
    <row r="575">
      <c r="B575" s="11" t="str">
        <f>Movies!C574</f>
        <v/>
      </c>
      <c r="J575" s="58"/>
      <c r="W575" s="51"/>
      <c r="X575" s="5"/>
      <c r="Y575" s="5"/>
      <c r="Z575" s="5"/>
      <c r="AA575" s="5"/>
      <c r="AB575" s="5"/>
    </row>
    <row r="576">
      <c r="B576" s="11" t="str">
        <f>Movies!C575</f>
        <v/>
      </c>
      <c r="J576" s="58"/>
      <c r="W576" s="51"/>
      <c r="X576" s="5"/>
      <c r="Y576" s="5"/>
      <c r="Z576" s="5"/>
      <c r="AA576" s="5"/>
      <c r="AB576" s="5"/>
    </row>
    <row r="577">
      <c r="B577" s="11" t="str">
        <f>Movies!C576</f>
        <v/>
      </c>
      <c r="J577" s="58"/>
      <c r="W577" s="51"/>
      <c r="X577" s="5"/>
      <c r="Y577" s="5"/>
      <c r="Z577" s="5"/>
      <c r="AA577" s="5"/>
      <c r="AB577" s="5"/>
    </row>
    <row r="578">
      <c r="B578" s="11" t="str">
        <f>Movies!C577</f>
        <v/>
      </c>
      <c r="J578" s="58"/>
      <c r="W578" s="51"/>
      <c r="X578" s="5"/>
      <c r="Y578" s="5"/>
      <c r="Z578" s="5"/>
      <c r="AA578" s="5"/>
      <c r="AB578" s="5"/>
    </row>
    <row r="579">
      <c r="B579" s="11" t="str">
        <f>Movies!C578</f>
        <v/>
      </c>
      <c r="J579" s="58"/>
      <c r="W579" s="51"/>
      <c r="X579" s="5"/>
      <c r="Y579" s="5"/>
      <c r="Z579" s="5"/>
      <c r="AA579" s="5"/>
      <c r="AB579" s="5"/>
    </row>
    <row r="580">
      <c r="B580" s="11" t="str">
        <f>Movies!C579</f>
        <v/>
      </c>
      <c r="J580" s="58"/>
      <c r="W580" s="51"/>
      <c r="X580" s="5"/>
      <c r="Y580" s="5"/>
      <c r="Z580" s="5"/>
      <c r="AA580" s="5"/>
      <c r="AB580" s="5"/>
    </row>
    <row r="581">
      <c r="B581" s="11" t="str">
        <f>Movies!C580</f>
        <v/>
      </c>
      <c r="J581" s="58"/>
      <c r="W581" s="51"/>
      <c r="X581" s="5"/>
      <c r="Y581" s="5"/>
      <c r="Z581" s="5"/>
      <c r="AA581" s="5"/>
      <c r="AB581" s="5"/>
    </row>
    <row r="582">
      <c r="B582" s="11" t="str">
        <f>Movies!C581</f>
        <v/>
      </c>
      <c r="J582" s="58"/>
      <c r="W582" s="51"/>
      <c r="X582" s="5"/>
      <c r="Y582" s="5"/>
      <c r="Z582" s="5"/>
      <c r="AA582" s="5"/>
      <c r="AB582" s="5"/>
    </row>
    <row r="583">
      <c r="B583" s="11" t="str">
        <f>Movies!C582</f>
        <v/>
      </c>
      <c r="J583" s="58"/>
      <c r="W583" s="51"/>
      <c r="X583" s="5"/>
      <c r="Y583" s="5"/>
      <c r="Z583" s="5"/>
      <c r="AA583" s="5"/>
      <c r="AB583" s="5"/>
    </row>
    <row r="584">
      <c r="B584" s="11" t="str">
        <f>Movies!C583</f>
        <v/>
      </c>
      <c r="J584" s="58"/>
      <c r="W584" s="51"/>
      <c r="X584" s="5"/>
      <c r="Y584" s="5"/>
      <c r="Z584" s="5"/>
      <c r="AA584" s="5"/>
      <c r="AB584" s="5"/>
    </row>
    <row r="585">
      <c r="B585" s="11" t="str">
        <f>Movies!C584</f>
        <v/>
      </c>
      <c r="J585" s="58"/>
      <c r="W585" s="51"/>
      <c r="X585" s="5"/>
      <c r="Y585" s="5"/>
      <c r="Z585" s="5"/>
      <c r="AA585" s="5"/>
      <c r="AB585" s="5"/>
    </row>
    <row r="586">
      <c r="B586" s="11" t="str">
        <f>Movies!C585</f>
        <v/>
      </c>
      <c r="J586" s="58"/>
      <c r="W586" s="51"/>
      <c r="X586" s="5"/>
      <c r="Y586" s="5"/>
      <c r="Z586" s="5"/>
      <c r="AA586" s="5"/>
      <c r="AB586" s="5"/>
    </row>
    <row r="587">
      <c r="B587" s="11" t="str">
        <f>Movies!C586</f>
        <v/>
      </c>
      <c r="J587" s="58"/>
      <c r="W587" s="51"/>
      <c r="X587" s="5"/>
      <c r="Y587" s="5"/>
      <c r="Z587" s="5"/>
      <c r="AA587" s="5"/>
      <c r="AB587" s="5"/>
    </row>
    <row r="588">
      <c r="B588" s="11" t="str">
        <f>Movies!C587</f>
        <v/>
      </c>
      <c r="J588" s="58"/>
      <c r="W588" s="51"/>
      <c r="X588" s="5"/>
      <c r="Y588" s="5"/>
      <c r="Z588" s="5"/>
      <c r="AA588" s="5"/>
      <c r="AB588" s="5"/>
    </row>
    <row r="589">
      <c r="B589" s="11" t="str">
        <f>Movies!C588</f>
        <v/>
      </c>
      <c r="J589" s="58"/>
      <c r="W589" s="51"/>
      <c r="X589" s="5"/>
      <c r="Y589" s="5"/>
      <c r="Z589" s="5"/>
      <c r="AA589" s="5"/>
      <c r="AB589" s="5"/>
    </row>
    <row r="590">
      <c r="B590" s="11" t="str">
        <f>Movies!C589</f>
        <v/>
      </c>
      <c r="J590" s="58"/>
      <c r="W590" s="51"/>
      <c r="X590" s="5"/>
      <c r="Y590" s="5"/>
      <c r="Z590" s="5"/>
      <c r="AA590" s="5"/>
      <c r="AB590" s="5"/>
    </row>
    <row r="591">
      <c r="B591" s="11" t="str">
        <f>Movies!C590</f>
        <v/>
      </c>
      <c r="J591" s="58"/>
      <c r="W591" s="51"/>
      <c r="X591" s="5"/>
      <c r="Y591" s="5"/>
      <c r="Z591" s="5"/>
      <c r="AA591" s="5"/>
      <c r="AB591" s="5"/>
    </row>
    <row r="592">
      <c r="B592" s="11" t="str">
        <f>Movies!C591</f>
        <v/>
      </c>
      <c r="J592" s="58"/>
      <c r="W592" s="51"/>
      <c r="X592" s="5"/>
      <c r="Y592" s="5"/>
      <c r="Z592" s="5"/>
      <c r="AA592" s="5"/>
      <c r="AB592" s="5"/>
    </row>
    <row r="593">
      <c r="B593" s="11" t="str">
        <f>Movies!C579</f>
        <v/>
      </c>
      <c r="J593" s="58"/>
      <c r="W593" s="51"/>
      <c r="X593" s="5"/>
      <c r="Y593" s="5"/>
      <c r="Z593" s="5"/>
      <c r="AA593" s="5"/>
      <c r="AB593" s="5"/>
    </row>
    <row r="594">
      <c r="J594" s="58"/>
      <c r="W594" s="51"/>
      <c r="X594" s="5"/>
      <c r="Y594" s="5"/>
      <c r="Z594" s="5"/>
      <c r="AA594" s="5"/>
      <c r="AB594" s="5"/>
    </row>
    <row r="595">
      <c r="J595" s="58"/>
      <c r="W595" s="51"/>
      <c r="X595" s="5"/>
      <c r="Y595" s="5"/>
      <c r="Z595" s="5"/>
      <c r="AA595" s="5"/>
      <c r="AB595" s="5"/>
    </row>
    <row r="596">
      <c r="J596" s="58"/>
      <c r="W596" s="51"/>
      <c r="X596" s="5"/>
      <c r="Y596" s="5"/>
      <c r="Z596" s="5"/>
      <c r="AA596" s="5"/>
      <c r="AB596" s="5"/>
    </row>
    <row r="597">
      <c r="J597" s="58"/>
      <c r="W597" s="51"/>
      <c r="X597" s="5"/>
      <c r="Y597" s="5"/>
      <c r="Z597" s="5"/>
      <c r="AA597" s="5"/>
      <c r="AB597" s="5"/>
    </row>
    <row r="598">
      <c r="J598" s="58"/>
      <c r="W598" s="51"/>
      <c r="X598" s="5"/>
      <c r="Y598" s="5"/>
      <c r="Z598" s="5"/>
      <c r="AA598" s="5"/>
      <c r="AB598" s="5"/>
    </row>
    <row r="599">
      <c r="J599" s="58"/>
      <c r="W599" s="51"/>
      <c r="X599" s="5"/>
      <c r="Y599" s="5"/>
      <c r="Z599" s="5"/>
      <c r="AA599" s="5"/>
      <c r="AB599" s="5"/>
    </row>
    <row r="600">
      <c r="J600" s="58"/>
      <c r="W600" s="51"/>
      <c r="X600" s="5"/>
      <c r="Y600" s="5"/>
      <c r="Z600" s="5"/>
      <c r="AA600" s="5"/>
      <c r="AB600" s="5"/>
    </row>
    <row r="601">
      <c r="J601" s="58"/>
      <c r="W601" s="51"/>
      <c r="X601" s="5"/>
      <c r="Y601" s="5"/>
      <c r="Z601" s="5"/>
      <c r="AA601" s="5"/>
      <c r="AB601" s="5"/>
    </row>
    <row r="602">
      <c r="J602" s="58"/>
      <c r="W602" s="51"/>
      <c r="X602" s="5"/>
      <c r="Y602" s="5"/>
      <c r="Z602" s="5"/>
      <c r="AA602" s="5"/>
      <c r="AB602" s="5"/>
    </row>
    <row r="603">
      <c r="J603" s="58"/>
      <c r="W603" s="51"/>
      <c r="X603" s="5"/>
      <c r="Y603" s="5"/>
      <c r="Z603" s="5"/>
      <c r="AA603" s="5"/>
      <c r="AB603" s="5"/>
    </row>
    <row r="604">
      <c r="J604" s="58"/>
      <c r="W604" s="51"/>
      <c r="X604" s="5"/>
      <c r="Y604" s="5"/>
      <c r="Z604" s="5"/>
      <c r="AA604" s="5"/>
      <c r="AB604" s="5"/>
    </row>
    <row r="605">
      <c r="J605" s="58"/>
      <c r="W605" s="51"/>
      <c r="X605" s="5"/>
      <c r="Y605" s="5"/>
      <c r="Z605" s="5"/>
      <c r="AA605" s="5"/>
      <c r="AB605" s="5"/>
    </row>
    <row r="606">
      <c r="J606" s="58"/>
      <c r="W606" s="51"/>
      <c r="X606" s="5"/>
      <c r="Y606" s="5"/>
      <c r="Z606" s="5"/>
      <c r="AA606" s="5"/>
      <c r="AB606" s="5"/>
    </row>
    <row r="607">
      <c r="J607" s="58"/>
      <c r="W607" s="51"/>
      <c r="X607" s="5"/>
      <c r="Y607" s="5"/>
      <c r="Z607" s="5"/>
      <c r="AA607" s="5"/>
      <c r="AB607" s="5"/>
    </row>
    <row r="608">
      <c r="J608" s="58"/>
      <c r="W608" s="51"/>
      <c r="X608" s="5"/>
      <c r="Y608" s="5"/>
      <c r="Z608" s="5"/>
      <c r="AA608" s="5"/>
      <c r="AB608" s="5"/>
    </row>
    <row r="609">
      <c r="J609" s="58"/>
      <c r="W609" s="51"/>
      <c r="X609" s="5"/>
      <c r="Y609" s="5"/>
      <c r="Z609" s="5"/>
      <c r="AA609" s="5"/>
      <c r="AB609" s="5"/>
    </row>
    <row r="610">
      <c r="J610" s="58"/>
      <c r="W610" s="51"/>
      <c r="X610" s="5"/>
      <c r="Y610" s="5"/>
      <c r="Z610" s="5"/>
      <c r="AA610" s="5"/>
      <c r="AB610" s="5"/>
    </row>
    <row r="611">
      <c r="J611" s="58"/>
      <c r="W611" s="51"/>
      <c r="X611" s="5"/>
      <c r="Y611" s="5"/>
      <c r="Z611" s="5"/>
      <c r="AA611" s="5"/>
      <c r="AB611" s="5"/>
    </row>
    <row r="612">
      <c r="J612" s="58"/>
      <c r="W612" s="51"/>
      <c r="X612" s="5"/>
      <c r="Y612" s="5"/>
      <c r="Z612" s="5"/>
      <c r="AA612" s="5"/>
      <c r="AB612" s="5"/>
    </row>
    <row r="613">
      <c r="J613" s="58"/>
      <c r="W613" s="51"/>
      <c r="X613" s="5"/>
      <c r="Y613" s="5"/>
      <c r="Z613" s="5"/>
      <c r="AA613" s="5"/>
      <c r="AB613" s="5"/>
    </row>
    <row r="614">
      <c r="J614" s="58"/>
      <c r="W614" s="51"/>
      <c r="X614" s="5"/>
      <c r="Y614" s="5"/>
      <c r="Z614" s="5"/>
      <c r="AA614" s="5"/>
      <c r="AB614" s="5"/>
    </row>
    <row r="615">
      <c r="J615" s="58"/>
      <c r="W615" s="51"/>
      <c r="X615" s="5"/>
      <c r="Y615" s="5"/>
      <c r="Z615" s="5"/>
      <c r="AA615" s="5"/>
      <c r="AB615" s="5"/>
    </row>
    <row r="616">
      <c r="J616" s="58"/>
      <c r="W616" s="51"/>
      <c r="X616" s="5"/>
      <c r="Y616" s="5"/>
      <c r="Z616" s="5"/>
      <c r="AA616" s="5"/>
      <c r="AB616" s="5"/>
    </row>
    <row r="617">
      <c r="J617" s="58"/>
      <c r="W617" s="51"/>
      <c r="X617" s="5"/>
      <c r="Y617" s="5"/>
      <c r="Z617" s="5"/>
      <c r="AA617" s="5"/>
      <c r="AB617" s="5"/>
    </row>
    <row r="618">
      <c r="J618" s="58"/>
      <c r="W618" s="51"/>
      <c r="X618" s="5"/>
      <c r="Y618" s="5"/>
      <c r="Z618" s="5"/>
      <c r="AA618" s="5"/>
      <c r="AB618" s="5"/>
    </row>
    <row r="619">
      <c r="J619" s="58"/>
      <c r="W619" s="51"/>
      <c r="X619" s="5"/>
      <c r="Y619" s="5"/>
      <c r="Z619" s="5"/>
      <c r="AA619" s="5"/>
      <c r="AB619" s="5"/>
    </row>
    <row r="620">
      <c r="J620" s="58"/>
      <c r="W620" s="51"/>
      <c r="X620" s="5"/>
      <c r="Y620" s="5"/>
      <c r="Z620" s="5"/>
      <c r="AA620" s="5"/>
      <c r="AB620" s="5"/>
    </row>
    <row r="621">
      <c r="J621" s="58"/>
      <c r="W621" s="51"/>
      <c r="X621" s="5"/>
      <c r="Y621" s="5"/>
      <c r="Z621" s="5"/>
      <c r="AA621" s="5"/>
      <c r="AB621" s="5"/>
    </row>
    <row r="622">
      <c r="J622" s="58"/>
      <c r="W622" s="51"/>
      <c r="X622" s="5"/>
      <c r="Y622" s="5"/>
      <c r="Z622" s="5"/>
      <c r="AA622" s="5"/>
      <c r="AB622" s="5"/>
    </row>
    <row r="623">
      <c r="J623" s="58"/>
      <c r="W623" s="51"/>
      <c r="X623" s="5"/>
      <c r="Y623" s="5"/>
      <c r="Z623" s="5"/>
      <c r="AA623" s="5"/>
      <c r="AB623" s="5"/>
    </row>
    <row r="624">
      <c r="J624" s="58"/>
      <c r="W624" s="51"/>
      <c r="X624" s="5"/>
      <c r="Y624" s="5"/>
      <c r="Z624" s="5"/>
      <c r="AA624" s="5"/>
      <c r="AB624" s="5"/>
    </row>
    <row r="625">
      <c r="J625" s="58"/>
      <c r="W625" s="51"/>
      <c r="X625" s="5"/>
      <c r="Y625" s="5"/>
      <c r="Z625" s="5"/>
      <c r="AA625" s="5"/>
      <c r="AB625" s="5"/>
    </row>
    <row r="626">
      <c r="J626" s="58"/>
      <c r="W626" s="51"/>
      <c r="X626" s="5"/>
      <c r="Y626" s="5"/>
      <c r="Z626" s="5"/>
      <c r="AA626" s="5"/>
      <c r="AB626" s="5"/>
    </row>
    <row r="627">
      <c r="J627" s="58"/>
      <c r="W627" s="51"/>
      <c r="X627" s="5"/>
      <c r="Y627" s="5"/>
      <c r="Z627" s="5"/>
      <c r="AA627" s="5"/>
      <c r="AB627" s="5"/>
    </row>
    <row r="628">
      <c r="J628" s="58"/>
      <c r="W628" s="51"/>
      <c r="X628" s="5"/>
      <c r="Y628" s="5"/>
      <c r="Z628" s="5"/>
      <c r="AA628" s="5"/>
      <c r="AB628" s="5"/>
    </row>
    <row r="629">
      <c r="J629" s="58"/>
      <c r="W629" s="51"/>
      <c r="X629" s="5"/>
      <c r="Y629" s="5"/>
      <c r="Z629" s="5"/>
      <c r="AA629" s="5"/>
      <c r="AB629" s="5"/>
    </row>
    <row r="630">
      <c r="J630" s="58"/>
      <c r="W630" s="51"/>
      <c r="X630" s="5"/>
      <c r="Y630" s="5"/>
      <c r="Z630" s="5"/>
      <c r="AA630" s="5"/>
      <c r="AB630" s="5"/>
    </row>
    <row r="631">
      <c r="J631" s="58"/>
      <c r="W631" s="51"/>
      <c r="X631" s="5"/>
      <c r="Y631" s="5"/>
      <c r="Z631" s="5"/>
      <c r="AA631" s="5"/>
      <c r="AB631" s="5"/>
    </row>
    <row r="632">
      <c r="J632" s="58"/>
      <c r="W632" s="51"/>
      <c r="X632" s="5"/>
      <c r="Y632" s="5"/>
      <c r="Z632" s="5"/>
      <c r="AA632" s="5"/>
      <c r="AB632" s="5"/>
    </row>
    <row r="633">
      <c r="J633" s="58"/>
      <c r="W633" s="51"/>
      <c r="X633" s="5"/>
      <c r="Y633" s="5"/>
      <c r="Z633" s="5"/>
      <c r="AA633" s="5"/>
      <c r="AB633" s="5"/>
    </row>
    <row r="634">
      <c r="J634" s="58"/>
      <c r="W634" s="51"/>
      <c r="X634" s="5"/>
      <c r="Y634" s="5"/>
      <c r="Z634" s="5"/>
      <c r="AA634" s="5"/>
      <c r="AB634" s="5"/>
    </row>
    <row r="635">
      <c r="J635" s="58"/>
      <c r="W635" s="51"/>
      <c r="X635" s="5"/>
      <c r="Y635" s="5"/>
      <c r="Z635" s="5"/>
      <c r="AA635" s="5"/>
      <c r="AB635" s="5"/>
    </row>
    <row r="636">
      <c r="J636" s="58"/>
      <c r="W636" s="51"/>
      <c r="X636" s="5"/>
      <c r="Y636" s="5"/>
      <c r="Z636" s="5"/>
      <c r="AA636" s="5"/>
      <c r="AB636" s="5"/>
    </row>
    <row r="637">
      <c r="J637" s="58"/>
      <c r="W637" s="51"/>
      <c r="X637" s="5"/>
      <c r="Y637" s="5"/>
      <c r="Z637" s="5"/>
      <c r="AA637" s="5"/>
      <c r="AB637" s="5"/>
    </row>
    <row r="638">
      <c r="J638" s="58"/>
      <c r="W638" s="51"/>
      <c r="X638" s="5"/>
      <c r="Y638" s="5"/>
      <c r="Z638" s="5"/>
      <c r="AA638" s="5"/>
      <c r="AB638" s="5"/>
    </row>
    <row r="639">
      <c r="J639" s="58"/>
      <c r="W639" s="51"/>
      <c r="X639" s="5"/>
      <c r="Y639" s="5"/>
      <c r="Z639" s="5"/>
      <c r="AA639" s="5"/>
      <c r="AB639" s="5"/>
    </row>
    <row r="640">
      <c r="J640" s="58"/>
      <c r="W640" s="51"/>
      <c r="X640" s="5"/>
      <c r="Y640" s="5"/>
      <c r="Z640" s="5"/>
      <c r="AA640" s="5"/>
      <c r="AB640" s="5"/>
    </row>
    <row r="641">
      <c r="J641" s="58"/>
      <c r="W641" s="51"/>
      <c r="X641" s="5"/>
      <c r="Y641" s="5"/>
      <c r="Z641" s="5"/>
      <c r="AA641" s="5"/>
      <c r="AB641" s="5"/>
    </row>
    <row r="642">
      <c r="J642" s="58"/>
      <c r="W642" s="51"/>
      <c r="X642" s="5"/>
      <c r="Y642" s="5"/>
      <c r="Z642" s="5"/>
      <c r="AA642" s="5"/>
      <c r="AB642" s="5"/>
    </row>
    <row r="643">
      <c r="J643" s="58"/>
      <c r="W643" s="51"/>
      <c r="X643" s="5"/>
      <c r="Y643" s="5"/>
      <c r="Z643" s="5"/>
      <c r="AA643" s="5"/>
      <c r="AB643" s="5"/>
    </row>
    <row r="644">
      <c r="J644" s="58"/>
      <c r="W644" s="51"/>
      <c r="X644" s="5"/>
      <c r="Y644" s="5"/>
      <c r="Z644" s="5"/>
      <c r="AA644" s="5"/>
      <c r="AB644" s="5"/>
    </row>
    <row r="645">
      <c r="J645" s="58"/>
      <c r="W645" s="51"/>
      <c r="X645" s="5"/>
      <c r="Y645" s="5"/>
      <c r="Z645" s="5"/>
      <c r="AA645" s="5"/>
      <c r="AB645" s="5"/>
    </row>
    <row r="646">
      <c r="J646" s="58"/>
      <c r="W646" s="51"/>
      <c r="X646" s="5"/>
      <c r="Y646" s="5"/>
      <c r="Z646" s="5"/>
      <c r="AA646" s="5"/>
      <c r="AB646" s="5"/>
    </row>
    <row r="647">
      <c r="J647" s="58"/>
      <c r="W647" s="51"/>
      <c r="X647" s="5"/>
      <c r="Y647" s="5"/>
      <c r="Z647" s="5"/>
      <c r="AA647" s="5"/>
      <c r="AB647" s="5"/>
    </row>
    <row r="648">
      <c r="J648" s="58"/>
      <c r="W648" s="51"/>
      <c r="X648" s="5"/>
      <c r="Y648" s="5"/>
      <c r="Z648" s="5"/>
      <c r="AA648" s="5"/>
      <c r="AB648" s="5"/>
    </row>
    <row r="649">
      <c r="J649" s="58"/>
      <c r="W649" s="51"/>
      <c r="X649" s="5"/>
      <c r="Y649" s="5"/>
      <c r="Z649" s="5"/>
      <c r="AA649" s="5"/>
      <c r="AB649" s="5"/>
    </row>
    <row r="650">
      <c r="J650" s="58"/>
      <c r="W650" s="51"/>
      <c r="X650" s="5"/>
      <c r="Y650" s="5"/>
      <c r="Z650" s="5"/>
      <c r="AA650" s="5"/>
      <c r="AB650" s="5"/>
    </row>
    <row r="651">
      <c r="J651" s="58"/>
      <c r="W651" s="51"/>
      <c r="X651" s="5"/>
      <c r="Y651" s="5"/>
      <c r="Z651" s="5"/>
      <c r="AA651" s="5"/>
      <c r="AB651" s="5"/>
    </row>
    <row r="652">
      <c r="J652" s="58"/>
      <c r="W652" s="51"/>
      <c r="X652" s="5"/>
      <c r="Y652" s="5"/>
      <c r="Z652" s="5"/>
      <c r="AA652" s="5"/>
      <c r="AB652" s="5"/>
    </row>
    <row r="653">
      <c r="J653" s="58"/>
      <c r="W653" s="51"/>
      <c r="X653" s="5"/>
      <c r="Y653" s="5"/>
      <c r="Z653" s="5"/>
      <c r="AA653" s="5"/>
      <c r="AB653" s="5"/>
    </row>
    <row r="654">
      <c r="J654" s="58"/>
      <c r="W654" s="51"/>
      <c r="X654" s="5"/>
      <c r="Y654" s="5"/>
      <c r="Z654" s="5"/>
      <c r="AA654" s="5"/>
      <c r="AB654" s="5"/>
    </row>
    <row r="655">
      <c r="J655" s="58"/>
      <c r="W655" s="51"/>
      <c r="X655" s="5"/>
      <c r="Y655" s="5"/>
      <c r="Z655" s="5"/>
      <c r="AA655" s="5"/>
      <c r="AB655" s="5"/>
    </row>
    <row r="656">
      <c r="J656" s="58"/>
      <c r="W656" s="51"/>
      <c r="X656" s="5"/>
      <c r="Y656" s="5"/>
      <c r="Z656" s="5"/>
      <c r="AA656" s="5"/>
      <c r="AB656" s="5"/>
    </row>
    <row r="657">
      <c r="J657" s="58"/>
      <c r="W657" s="51"/>
      <c r="X657" s="5"/>
      <c r="Y657" s="5"/>
      <c r="Z657" s="5"/>
      <c r="AA657" s="5"/>
      <c r="AB657" s="5"/>
    </row>
    <row r="658">
      <c r="J658" s="58"/>
      <c r="W658" s="51"/>
      <c r="X658" s="5"/>
      <c r="Y658" s="5"/>
      <c r="Z658" s="5"/>
      <c r="AA658" s="5"/>
      <c r="AB658" s="5"/>
    </row>
    <row r="659">
      <c r="J659" s="58"/>
      <c r="W659" s="51"/>
      <c r="X659" s="5"/>
      <c r="Y659" s="5"/>
      <c r="Z659" s="5"/>
      <c r="AA659" s="5"/>
      <c r="AB659" s="5"/>
    </row>
    <row r="660">
      <c r="J660" s="58"/>
      <c r="W660" s="51"/>
      <c r="X660" s="5"/>
      <c r="Y660" s="5"/>
      <c r="Z660" s="5"/>
      <c r="AA660" s="5"/>
      <c r="AB660" s="5"/>
    </row>
    <row r="661">
      <c r="J661" s="58"/>
      <c r="W661" s="51"/>
      <c r="X661" s="5"/>
      <c r="Y661" s="5"/>
      <c r="Z661" s="5"/>
      <c r="AA661" s="5"/>
      <c r="AB661" s="5"/>
    </row>
    <row r="662">
      <c r="J662" s="58"/>
      <c r="W662" s="51"/>
      <c r="X662" s="5"/>
      <c r="Y662" s="5"/>
      <c r="Z662" s="5"/>
      <c r="AA662" s="5"/>
      <c r="AB662" s="5"/>
    </row>
    <row r="663">
      <c r="J663" s="58"/>
      <c r="W663" s="51"/>
      <c r="X663" s="5"/>
      <c r="Y663" s="5"/>
      <c r="Z663" s="5"/>
      <c r="AA663" s="5"/>
      <c r="AB663" s="5"/>
    </row>
    <row r="664">
      <c r="J664" s="58"/>
      <c r="W664" s="51"/>
      <c r="X664" s="5"/>
      <c r="Y664" s="5"/>
      <c r="Z664" s="5"/>
      <c r="AA664" s="5"/>
      <c r="AB664" s="5"/>
    </row>
    <row r="665">
      <c r="J665" s="58"/>
      <c r="W665" s="51"/>
      <c r="X665" s="5"/>
      <c r="Y665" s="5"/>
      <c r="Z665" s="5"/>
      <c r="AA665" s="5"/>
      <c r="AB665" s="5"/>
    </row>
    <row r="666">
      <c r="J666" s="58"/>
      <c r="W666" s="51"/>
      <c r="X666" s="5"/>
      <c r="Y666" s="5"/>
      <c r="Z666" s="5"/>
      <c r="AA666" s="5"/>
      <c r="AB666" s="5"/>
    </row>
    <row r="667">
      <c r="J667" s="58"/>
      <c r="W667" s="51"/>
      <c r="X667" s="5"/>
      <c r="Y667" s="5"/>
      <c r="Z667" s="5"/>
      <c r="AA667" s="5"/>
      <c r="AB667" s="5"/>
    </row>
    <row r="668">
      <c r="J668" s="58"/>
      <c r="W668" s="51"/>
      <c r="X668" s="5"/>
      <c r="Y668" s="5"/>
      <c r="Z668" s="5"/>
      <c r="AA668" s="5"/>
      <c r="AB668" s="5"/>
    </row>
    <row r="669">
      <c r="J669" s="58"/>
      <c r="W669" s="51"/>
      <c r="X669" s="5"/>
      <c r="Y669" s="5"/>
      <c r="Z669" s="5"/>
      <c r="AA669" s="5"/>
      <c r="AB669" s="5"/>
    </row>
    <row r="670">
      <c r="J670" s="58"/>
      <c r="W670" s="51"/>
      <c r="X670" s="5"/>
      <c r="Y670" s="5"/>
      <c r="Z670" s="5"/>
      <c r="AA670" s="5"/>
      <c r="AB670" s="5"/>
    </row>
    <row r="671">
      <c r="J671" s="58"/>
      <c r="W671" s="51"/>
      <c r="X671" s="5"/>
      <c r="Y671" s="5"/>
      <c r="Z671" s="5"/>
      <c r="AA671" s="5"/>
      <c r="AB671" s="5"/>
    </row>
    <row r="672">
      <c r="J672" s="58"/>
      <c r="W672" s="51"/>
      <c r="X672" s="5"/>
      <c r="Y672" s="5"/>
      <c r="Z672" s="5"/>
      <c r="AA672" s="5"/>
      <c r="AB672" s="5"/>
    </row>
    <row r="673">
      <c r="J673" s="58"/>
      <c r="W673" s="51"/>
      <c r="X673" s="5"/>
      <c r="Y673" s="5"/>
      <c r="Z673" s="5"/>
      <c r="AA673" s="5"/>
      <c r="AB673" s="5"/>
    </row>
    <row r="674">
      <c r="J674" s="58"/>
      <c r="W674" s="51"/>
      <c r="X674" s="5"/>
      <c r="Y674" s="5"/>
      <c r="Z674" s="5"/>
      <c r="AA674" s="5"/>
      <c r="AB674" s="5"/>
    </row>
    <row r="675">
      <c r="J675" s="58"/>
      <c r="W675" s="51"/>
      <c r="X675" s="5"/>
      <c r="Y675" s="5"/>
      <c r="Z675" s="5"/>
      <c r="AA675" s="5"/>
      <c r="AB675" s="5"/>
    </row>
    <row r="676">
      <c r="J676" s="58"/>
      <c r="W676" s="51"/>
      <c r="X676" s="5"/>
      <c r="Y676" s="5"/>
      <c r="Z676" s="5"/>
      <c r="AA676" s="5"/>
      <c r="AB676" s="5"/>
    </row>
    <row r="677">
      <c r="J677" s="58"/>
      <c r="W677" s="51"/>
      <c r="X677" s="5"/>
      <c r="Y677" s="5"/>
      <c r="Z677" s="5"/>
      <c r="AA677" s="5"/>
      <c r="AB677" s="5"/>
    </row>
    <row r="678">
      <c r="J678" s="58"/>
      <c r="W678" s="51"/>
      <c r="X678" s="5"/>
      <c r="Y678" s="5"/>
      <c r="Z678" s="5"/>
      <c r="AA678" s="5"/>
      <c r="AB678" s="5"/>
    </row>
    <row r="679">
      <c r="J679" s="58"/>
      <c r="W679" s="51"/>
      <c r="X679" s="5"/>
      <c r="Y679" s="5"/>
      <c r="Z679" s="5"/>
      <c r="AA679" s="5"/>
      <c r="AB679" s="5"/>
    </row>
    <row r="680">
      <c r="J680" s="58"/>
      <c r="W680" s="51"/>
      <c r="X680" s="5"/>
      <c r="Y680" s="5"/>
      <c r="Z680" s="5"/>
      <c r="AA680" s="5"/>
      <c r="AB680" s="5"/>
    </row>
    <row r="681">
      <c r="J681" s="58"/>
      <c r="W681" s="51"/>
      <c r="X681" s="5"/>
      <c r="Y681" s="5"/>
      <c r="Z681" s="5"/>
      <c r="AA681" s="5"/>
      <c r="AB681" s="5"/>
    </row>
    <row r="682">
      <c r="J682" s="58"/>
      <c r="W682" s="51"/>
      <c r="X682" s="5"/>
      <c r="Y682" s="5"/>
      <c r="Z682" s="5"/>
      <c r="AA682" s="5"/>
      <c r="AB682" s="5"/>
    </row>
    <row r="683">
      <c r="J683" s="58"/>
      <c r="W683" s="51"/>
      <c r="X683" s="5"/>
      <c r="Y683" s="5"/>
      <c r="Z683" s="5"/>
      <c r="AA683" s="5"/>
      <c r="AB683" s="5"/>
    </row>
    <row r="684">
      <c r="J684" s="58"/>
      <c r="W684" s="51"/>
      <c r="X684" s="5"/>
      <c r="Y684" s="5"/>
      <c r="Z684" s="5"/>
      <c r="AA684" s="5"/>
      <c r="AB684" s="5"/>
    </row>
    <row r="685">
      <c r="J685" s="58"/>
      <c r="W685" s="51"/>
      <c r="X685" s="5"/>
      <c r="Y685" s="5"/>
      <c r="Z685" s="5"/>
      <c r="AA685" s="5"/>
      <c r="AB685" s="5"/>
    </row>
    <row r="686">
      <c r="J686" s="58"/>
      <c r="W686" s="51"/>
      <c r="X686" s="5"/>
      <c r="Y686" s="5"/>
      <c r="Z686" s="5"/>
      <c r="AA686" s="5"/>
      <c r="AB686" s="5"/>
    </row>
    <row r="687">
      <c r="J687" s="58"/>
      <c r="W687" s="51"/>
      <c r="X687" s="5"/>
      <c r="Y687" s="5"/>
      <c r="Z687" s="5"/>
      <c r="AA687" s="5"/>
      <c r="AB687" s="5"/>
    </row>
    <row r="688">
      <c r="J688" s="58"/>
      <c r="W688" s="51"/>
      <c r="X688" s="5"/>
      <c r="Y688" s="5"/>
      <c r="Z688" s="5"/>
      <c r="AA688" s="5"/>
      <c r="AB688" s="5"/>
    </row>
    <row r="689">
      <c r="J689" s="58"/>
      <c r="W689" s="51"/>
      <c r="X689" s="5"/>
      <c r="Y689" s="5"/>
      <c r="Z689" s="5"/>
      <c r="AA689" s="5"/>
      <c r="AB689" s="5"/>
    </row>
    <row r="690">
      <c r="J690" s="58"/>
      <c r="W690" s="51"/>
      <c r="X690" s="5"/>
      <c r="Y690" s="5"/>
      <c r="Z690" s="5"/>
      <c r="AA690" s="5"/>
      <c r="AB690" s="5"/>
    </row>
    <row r="691">
      <c r="J691" s="58"/>
      <c r="W691" s="51"/>
      <c r="X691" s="5"/>
      <c r="Y691" s="5"/>
      <c r="Z691" s="5"/>
      <c r="AA691" s="5"/>
      <c r="AB691" s="5"/>
    </row>
    <row r="692">
      <c r="J692" s="58"/>
      <c r="W692" s="51"/>
      <c r="X692" s="5"/>
      <c r="Y692" s="5"/>
      <c r="Z692" s="5"/>
      <c r="AA692" s="5"/>
      <c r="AB692" s="5"/>
    </row>
    <row r="693">
      <c r="J693" s="58"/>
      <c r="W693" s="51"/>
      <c r="X693" s="5"/>
      <c r="Y693" s="5"/>
      <c r="Z693" s="5"/>
      <c r="AA693" s="5"/>
      <c r="AB693" s="5"/>
    </row>
    <row r="694">
      <c r="J694" s="58"/>
      <c r="W694" s="51"/>
      <c r="X694" s="5"/>
      <c r="Y694" s="5"/>
      <c r="Z694" s="5"/>
      <c r="AA694" s="5"/>
      <c r="AB694" s="5"/>
    </row>
    <row r="695">
      <c r="J695" s="58"/>
      <c r="W695" s="51"/>
      <c r="X695" s="5"/>
      <c r="Y695" s="5"/>
      <c r="Z695" s="5"/>
      <c r="AA695" s="5"/>
      <c r="AB695" s="5"/>
    </row>
    <row r="696">
      <c r="J696" s="58"/>
      <c r="W696" s="51"/>
      <c r="X696" s="5"/>
      <c r="Y696" s="5"/>
      <c r="Z696" s="5"/>
      <c r="AA696" s="5"/>
      <c r="AB696" s="5"/>
    </row>
    <row r="697">
      <c r="J697" s="58"/>
      <c r="W697" s="51"/>
      <c r="X697" s="5"/>
      <c r="Y697" s="5"/>
      <c r="Z697" s="5"/>
      <c r="AA697" s="5"/>
      <c r="AB697" s="5"/>
    </row>
    <row r="698">
      <c r="J698" s="58"/>
      <c r="W698" s="51"/>
      <c r="X698" s="5"/>
      <c r="Y698" s="5"/>
      <c r="Z698" s="5"/>
      <c r="AA698" s="5"/>
      <c r="AB698" s="5"/>
    </row>
    <row r="699">
      <c r="J699" s="58"/>
      <c r="W699" s="51"/>
      <c r="X699" s="5"/>
      <c r="Y699" s="5"/>
      <c r="Z699" s="5"/>
      <c r="AA699" s="5"/>
      <c r="AB699" s="5"/>
    </row>
    <row r="700">
      <c r="J700" s="58"/>
      <c r="W700" s="51"/>
      <c r="X700" s="5"/>
      <c r="Y700" s="5"/>
      <c r="Z700" s="5"/>
      <c r="AA700" s="5"/>
      <c r="AB700" s="5"/>
    </row>
    <row r="701">
      <c r="J701" s="58"/>
      <c r="W701" s="51"/>
      <c r="X701" s="5"/>
      <c r="Y701" s="5"/>
      <c r="Z701" s="5"/>
      <c r="AA701" s="5"/>
      <c r="AB701" s="5"/>
    </row>
    <row r="702">
      <c r="J702" s="58"/>
      <c r="W702" s="51"/>
      <c r="X702" s="5"/>
      <c r="Y702" s="5"/>
      <c r="Z702" s="5"/>
      <c r="AA702" s="5"/>
      <c r="AB702" s="5"/>
    </row>
    <row r="703">
      <c r="J703" s="58"/>
      <c r="W703" s="51"/>
      <c r="X703" s="5"/>
      <c r="Y703" s="5"/>
      <c r="Z703" s="5"/>
      <c r="AA703" s="5"/>
      <c r="AB703" s="5"/>
    </row>
    <row r="704">
      <c r="J704" s="58"/>
      <c r="W704" s="51"/>
      <c r="X704" s="5"/>
      <c r="Y704" s="5"/>
      <c r="Z704" s="5"/>
      <c r="AA704" s="5"/>
      <c r="AB704" s="5"/>
    </row>
    <row r="705">
      <c r="J705" s="58"/>
      <c r="W705" s="51"/>
      <c r="X705" s="5"/>
      <c r="Y705" s="5"/>
      <c r="Z705" s="5"/>
      <c r="AA705" s="5"/>
      <c r="AB705" s="5"/>
    </row>
    <row r="706">
      <c r="J706" s="58"/>
      <c r="W706" s="51"/>
      <c r="X706" s="5"/>
      <c r="Y706" s="5"/>
      <c r="Z706" s="5"/>
      <c r="AA706" s="5"/>
      <c r="AB706" s="5"/>
    </row>
    <row r="707">
      <c r="J707" s="58"/>
      <c r="W707" s="51"/>
      <c r="X707" s="5"/>
      <c r="Y707" s="5"/>
      <c r="Z707" s="5"/>
      <c r="AA707" s="5"/>
      <c r="AB707" s="5"/>
    </row>
    <row r="708">
      <c r="J708" s="58"/>
      <c r="W708" s="51"/>
      <c r="X708" s="5"/>
      <c r="Y708" s="5"/>
      <c r="Z708" s="5"/>
      <c r="AA708" s="5"/>
      <c r="AB708" s="5"/>
    </row>
    <row r="709">
      <c r="J709" s="58"/>
      <c r="W709" s="51"/>
      <c r="X709" s="5"/>
      <c r="Y709" s="5"/>
      <c r="Z709" s="5"/>
      <c r="AA709" s="5"/>
      <c r="AB709" s="5"/>
    </row>
    <row r="710">
      <c r="J710" s="58"/>
      <c r="W710" s="51"/>
      <c r="X710" s="5"/>
      <c r="Y710" s="5"/>
      <c r="Z710" s="5"/>
      <c r="AA710" s="5"/>
      <c r="AB710" s="5"/>
    </row>
    <row r="711">
      <c r="J711" s="58"/>
      <c r="W711" s="51"/>
      <c r="X711" s="5"/>
      <c r="Y711" s="5"/>
      <c r="Z711" s="5"/>
      <c r="AA711" s="5"/>
      <c r="AB711" s="5"/>
    </row>
    <row r="712">
      <c r="J712" s="58"/>
      <c r="W712" s="51"/>
      <c r="X712" s="5"/>
      <c r="Y712" s="5"/>
      <c r="Z712" s="5"/>
      <c r="AA712" s="5"/>
      <c r="AB712" s="5"/>
    </row>
    <row r="713">
      <c r="J713" s="58"/>
      <c r="W713" s="51"/>
      <c r="X713" s="5"/>
      <c r="Y713" s="5"/>
      <c r="Z713" s="5"/>
      <c r="AA713" s="5"/>
      <c r="AB713" s="5"/>
    </row>
    <row r="714">
      <c r="J714" s="58"/>
      <c r="W714" s="51"/>
      <c r="X714" s="5"/>
      <c r="Y714" s="5"/>
      <c r="Z714" s="5"/>
      <c r="AA714" s="5"/>
      <c r="AB714" s="5"/>
    </row>
    <row r="715">
      <c r="J715" s="58"/>
      <c r="W715" s="51"/>
      <c r="X715" s="5"/>
      <c r="Y715" s="5"/>
      <c r="Z715" s="5"/>
      <c r="AA715" s="5"/>
      <c r="AB715" s="5"/>
    </row>
    <row r="716">
      <c r="J716" s="58"/>
      <c r="W716" s="51"/>
      <c r="X716" s="5"/>
      <c r="Y716" s="5"/>
      <c r="Z716" s="5"/>
      <c r="AA716" s="5"/>
      <c r="AB716" s="5"/>
    </row>
    <row r="717">
      <c r="J717" s="58"/>
      <c r="W717" s="51"/>
      <c r="X717" s="5"/>
      <c r="Y717" s="5"/>
      <c r="Z717" s="5"/>
      <c r="AA717" s="5"/>
      <c r="AB717" s="5"/>
    </row>
    <row r="718">
      <c r="J718" s="58"/>
      <c r="W718" s="51"/>
      <c r="X718" s="5"/>
      <c r="Y718" s="5"/>
      <c r="Z718" s="5"/>
      <c r="AA718" s="5"/>
      <c r="AB718" s="5"/>
    </row>
    <row r="719">
      <c r="J719" s="58"/>
      <c r="W719" s="51"/>
      <c r="X719" s="5"/>
      <c r="Y719" s="5"/>
      <c r="Z719" s="5"/>
      <c r="AA719" s="5"/>
      <c r="AB719" s="5"/>
    </row>
    <row r="720">
      <c r="J720" s="58"/>
      <c r="W720" s="51"/>
      <c r="X720" s="5"/>
      <c r="Y720" s="5"/>
      <c r="Z720" s="5"/>
      <c r="AA720" s="5"/>
      <c r="AB720" s="5"/>
    </row>
    <row r="721">
      <c r="J721" s="58"/>
      <c r="W721" s="51"/>
      <c r="X721" s="5"/>
      <c r="Y721" s="5"/>
      <c r="Z721" s="5"/>
      <c r="AA721" s="5"/>
      <c r="AB721" s="5"/>
    </row>
    <row r="722">
      <c r="J722" s="58"/>
      <c r="W722" s="51"/>
      <c r="X722" s="5"/>
      <c r="Y722" s="5"/>
      <c r="Z722" s="5"/>
      <c r="AA722" s="5"/>
      <c r="AB722" s="5"/>
    </row>
    <row r="723">
      <c r="J723" s="58"/>
      <c r="W723" s="51"/>
      <c r="X723" s="5"/>
      <c r="Y723" s="5"/>
      <c r="Z723" s="5"/>
      <c r="AA723" s="5"/>
      <c r="AB723" s="5"/>
    </row>
    <row r="724">
      <c r="J724" s="58"/>
      <c r="W724" s="51"/>
      <c r="X724" s="5"/>
      <c r="Y724" s="5"/>
      <c r="Z724" s="5"/>
      <c r="AA724" s="5"/>
      <c r="AB724" s="5"/>
    </row>
    <row r="725">
      <c r="J725" s="58"/>
      <c r="W725" s="51"/>
      <c r="X725" s="5"/>
      <c r="Y725" s="5"/>
      <c r="Z725" s="5"/>
      <c r="AA725" s="5"/>
      <c r="AB725" s="5"/>
    </row>
    <row r="726">
      <c r="J726" s="58"/>
      <c r="W726" s="51"/>
      <c r="X726" s="5"/>
      <c r="Y726" s="5"/>
      <c r="Z726" s="5"/>
      <c r="AA726" s="5"/>
      <c r="AB726" s="5"/>
    </row>
    <row r="727">
      <c r="J727" s="58"/>
      <c r="W727" s="51"/>
      <c r="X727" s="5"/>
      <c r="Y727" s="5"/>
      <c r="Z727" s="5"/>
      <c r="AA727" s="5"/>
      <c r="AB727" s="5"/>
    </row>
    <row r="728">
      <c r="J728" s="58"/>
      <c r="W728" s="51"/>
      <c r="X728" s="5"/>
      <c r="Y728" s="5"/>
      <c r="Z728" s="5"/>
      <c r="AA728" s="5"/>
      <c r="AB728" s="5"/>
    </row>
    <row r="729">
      <c r="J729" s="58"/>
      <c r="W729" s="51"/>
      <c r="X729" s="5"/>
      <c r="Y729" s="5"/>
      <c r="Z729" s="5"/>
      <c r="AA729" s="5"/>
      <c r="AB729" s="5"/>
    </row>
    <row r="730">
      <c r="J730" s="58"/>
      <c r="W730" s="51"/>
      <c r="X730" s="5"/>
      <c r="Y730" s="5"/>
      <c r="Z730" s="5"/>
      <c r="AA730" s="5"/>
      <c r="AB730" s="5"/>
    </row>
    <row r="731">
      <c r="J731" s="58"/>
      <c r="W731" s="51"/>
      <c r="X731" s="5"/>
      <c r="Y731" s="5"/>
      <c r="Z731" s="5"/>
      <c r="AA731" s="5"/>
      <c r="AB731" s="5"/>
    </row>
    <row r="732">
      <c r="J732" s="58"/>
      <c r="W732" s="51"/>
      <c r="X732" s="5"/>
      <c r="Y732" s="5"/>
      <c r="Z732" s="5"/>
      <c r="AA732" s="5"/>
      <c r="AB732" s="5"/>
    </row>
    <row r="733">
      <c r="J733" s="58"/>
      <c r="W733" s="51"/>
      <c r="X733" s="5"/>
      <c r="Y733" s="5"/>
      <c r="Z733" s="5"/>
      <c r="AA733" s="5"/>
      <c r="AB733" s="5"/>
    </row>
    <row r="734">
      <c r="J734" s="58"/>
      <c r="W734" s="51"/>
      <c r="X734" s="5"/>
      <c r="Y734" s="5"/>
      <c r="Z734" s="5"/>
      <c r="AA734" s="5"/>
      <c r="AB734" s="5"/>
    </row>
    <row r="735">
      <c r="J735" s="58"/>
      <c r="W735" s="51"/>
      <c r="X735" s="5"/>
      <c r="Y735" s="5"/>
      <c r="Z735" s="5"/>
      <c r="AA735" s="5"/>
      <c r="AB735" s="5"/>
    </row>
    <row r="736">
      <c r="J736" s="58"/>
      <c r="W736" s="51"/>
      <c r="X736" s="5"/>
      <c r="Y736" s="5"/>
      <c r="Z736" s="5"/>
      <c r="AA736" s="5"/>
      <c r="AB736" s="5"/>
    </row>
    <row r="737">
      <c r="J737" s="58"/>
      <c r="W737" s="51"/>
      <c r="X737" s="5"/>
      <c r="Y737" s="5"/>
      <c r="Z737" s="5"/>
      <c r="AA737" s="5"/>
      <c r="AB737" s="5"/>
    </row>
    <row r="738">
      <c r="J738" s="58"/>
      <c r="W738" s="51"/>
      <c r="X738" s="5"/>
      <c r="Y738" s="5"/>
      <c r="Z738" s="5"/>
      <c r="AA738" s="5"/>
      <c r="AB738" s="5"/>
    </row>
    <row r="739">
      <c r="J739" s="58"/>
      <c r="W739" s="51"/>
      <c r="X739" s="5"/>
      <c r="Y739" s="5"/>
      <c r="Z739" s="5"/>
      <c r="AA739" s="5"/>
      <c r="AB739" s="5"/>
    </row>
    <row r="740">
      <c r="J740" s="58"/>
      <c r="W740" s="51"/>
      <c r="X740" s="5"/>
      <c r="Y740" s="5"/>
      <c r="Z740" s="5"/>
      <c r="AA740" s="5"/>
      <c r="AB740" s="5"/>
    </row>
    <row r="741">
      <c r="J741" s="58"/>
      <c r="W741" s="51"/>
      <c r="X741" s="5"/>
      <c r="Y741" s="5"/>
      <c r="Z741" s="5"/>
      <c r="AA741" s="5"/>
      <c r="AB741" s="5"/>
    </row>
    <row r="742">
      <c r="J742" s="58"/>
      <c r="W742" s="51"/>
      <c r="X742" s="5"/>
      <c r="Y742" s="5"/>
      <c r="Z742" s="5"/>
      <c r="AA742" s="5"/>
      <c r="AB742" s="5"/>
    </row>
    <row r="743">
      <c r="J743" s="58"/>
      <c r="W743" s="51"/>
      <c r="X743" s="5"/>
      <c r="Y743" s="5"/>
      <c r="Z743" s="5"/>
      <c r="AA743" s="5"/>
      <c r="AB743" s="5"/>
    </row>
    <row r="744">
      <c r="J744" s="58"/>
      <c r="W744" s="51"/>
      <c r="X744" s="5"/>
      <c r="Y744" s="5"/>
      <c r="Z744" s="5"/>
      <c r="AA744" s="5"/>
      <c r="AB744" s="5"/>
    </row>
    <row r="745">
      <c r="J745" s="58"/>
      <c r="W745" s="51"/>
      <c r="X745" s="5"/>
      <c r="Y745" s="5"/>
      <c r="Z745" s="5"/>
      <c r="AA745" s="5"/>
      <c r="AB745" s="5"/>
    </row>
    <row r="746">
      <c r="J746" s="58"/>
      <c r="W746" s="51"/>
      <c r="X746" s="5"/>
      <c r="Y746" s="5"/>
      <c r="Z746" s="5"/>
      <c r="AA746" s="5"/>
      <c r="AB746" s="5"/>
    </row>
    <row r="747">
      <c r="J747" s="58"/>
      <c r="W747" s="51"/>
      <c r="X747" s="5"/>
      <c r="Y747" s="5"/>
      <c r="Z747" s="5"/>
      <c r="AA747" s="5"/>
      <c r="AB747" s="5"/>
    </row>
    <row r="748">
      <c r="J748" s="58"/>
      <c r="W748" s="51"/>
      <c r="X748" s="5"/>
      <c r="Y748" s="5"/>
      <c r="Z748" s="5"/>
      <c r="AA748" s="5"/>
      <c r="AB748" s="5"/>
    </row>
    <row r="749">
      <c r="J749" s="58"/>
      <c r="W749" s="51"/>
      <c r="X749" s="5"/>
      <c r="Y749" s="5"/>
      <c r="Z749" s="5"/>
      <c r="AA749" s="5"/>
      <c r="AB749" s="5"/>
    </row>
    <row r="750">
      <c r="J750" s="58"/>
      <c r="W750" s="51"/>
      <c r="X750" s="5"/>
      <c r="Y750" s="5"/>
      <c r="Z750" s="5"/>
      <c r="AA750" s="5"/>
      <c r="AB750" s="5"/>
    </row>
    <row r="751">
      <c r="J751" s="58"/>
      <c r="W751" s="51"/>
      <c r="X751" s="5"/>
      <c r="Y751" s="5"/>
      <c r="Z751" s="5"/>
      <c r="AA751" s="5"/>
      <c r="AB751" s="5"/>
    </row>
    <row r="752">
      <c r="J752" s="58"/>
      <c r="W752" s="51"/>
      <c r="X752" s="5"/>
      <c r="Y752" s="5"/>
      <c r="Z752" s="5"/>
      <c r="AA752" s="5"/>
      <c r="AB752" s="5"/>
    </row>
    <row r="753">
      <c r="J753" s="58"/>
      <c r="W753" s="51"/>
      <c r="X753" s="5"/>
      <c r="Y753" s="5"/>
      <c r="Z753" s="5"/>
      <c r="AA753" s="5"/>
      <c r="AB753" s="5"/>
    </row>
    <row r="754">
      <c r="J754" s="58"/>
      <c r="W754" s="51"/>
      <c r="X754" s="5"/>
      <c r="Y754" s="5"/>
      <c r="Z754" s="5"/>
      <c r="AA754" s="5"/>
      <c r="AB754" s="5"/>
    </row>
    <row r="755">
      <c r="J755" s="58"/>
      <c r="W755" s="51"/>
      <c r="X755" s="5"/>
      <c r="Y755" s="5"/>
      <c r="Z755" s="5"/>
      <c r="AA755" s="5"/>
      <c r="AB755" s="5"/>
    </row>
    <row r="756">
      <c r="J756" s="58"/>
      <c r="W756" s="51"/>
      <c r="X756" s="5"/>
      <c r="Y756" s="5"/>
      <c r="Z756" s="5"/>
      <c r="AA756" s="5"/>
      <c r="AB756" s="5"/>
    </row>
    <row r="757">
      <c r="J757" s="58"/>
      <c r="W757" s="51"/>
      <c r="X757" s="5"/>
      <c r="Y757" s="5"/>
      <c r="Z757" s="5"/>
      <c r="AA757" s="5"/>
      <c r="AB757" s="5"/>
    </row>
    <row r="758">
      <c r="J758" s="58"/>
      <c r="W758" s="51"/>
      <c r="X758" s="5"/>
      <c r="Y758" s="5"/>
      <c r="Z758" s="5"/>
      <c r="AA758" s="5"/>
      <c r="AB758" s="5"/>
    </row>
    <row r="759">
      <c r="J759" s="58"/>
      <c r="W759" s="51"/>
      <c r="X759" s="5"/>
      <c r="Y759" s="5"/>
      <c r="Z759" s="5"/>
      <c r="AA759" s="5"/>
      <c r="AB759" s="5"/>
    </row>
    <row r="760">
      <c r="J760" s="58"/>
      <c r="W760" s="51"/>
      <c r="X760" s="5"/>
      <c r="Y760" s="5"/>
      <c r="Z760" s="5"/>
      <c r="AA760" s="5"/>
      <c r="AB760" s="5"/>
    </row>
    <row r="761">
      <c r="J761" s="58"/>
      <c r="W761" s="51"/>
      <c r="X761" s="5"/>
      <c r="Y761" s="5"/>
      <c r="Z761" s="5"/>
      <c r="AA761" s="5"/>
      <c r="AB761" s="5"/>
    </row>
    <row r="762">
      <c r="J762" s="58"/>
      <c r="W762" s="51"/>
      <c r="X762" s="5"/>
      <c r="Y762" s="5"/>
      <c r="Z762" s="5"/>
      <c r="AA762" s="5"/>
      <c r="AB762" s="5"/>
    </row>
    <row r="763">
      <c r="J763" s="58"/>
      <c r="W763" s="51"/>
      <c r="X763" s="5"/>
      <c r="Y763" s="5"/>
      <c r="Z763" s="5"/>
      <c r="AA763" s="5"/>
      <c r="AB763" s="5"/>
    </row>
    <row r="764">
      <c r="J764" s="58"/>
      <c r="W764" s="51"/>
      <c r="X764" s="5"/>
      <c r="Y764" s="5"/>
      <c r="Z764" s="5"/>
      <c r="AA764" s="5"/>
      <c r="AB764" s="5"/>
    </row>
    <row r="765">
      <c r="J765" s="58"/>
      <c r="W765" s="51"/>
      <c r="X765" s="5"/>
      <c r="Y765" s="5"/>
      <c r="Z765" s="5"/>
      <c r="AA765" s="5"/>
      <c r="AB765" s="5"/>
    </row>
    <row r="766">
      <c r="J766" s="58"/>
      <c r="W766" s="51"/>
      <c r="X766" s="5"/>
      <c r="Y766" s="5"/>
      <c r="Z766" s="5"/>
      <c r="AA766" s="5"/>
      <c r="AB766" s="5"/>
    </row>
    <row r="767">
      <c r="J767" s="58"/>
      <c r="W767" s="51"/>
      <c r="X767" s="5"/>
      <c r="Y767" s="5"/>
      <c r="Z767" s="5"/>
      <c r="AA767" s="5"/>
      <c r="AB767" s="5"/>
    </row>
    <row r="768">
      <c r="J768" s="58"/>
      <c r="W768" s="51"/>
      <c r="X768" s="5"/>
      <c r="Y768" s="5"/>
      <c r="Z768" s="5"/>
      <c r="AA768" s="5"/>
      <c r="AB768" s="5"/>
    </row>
    <row r="769">
      <c r="J769" s="58"/>
      <c r="W769" s="51"/>
      <c r="X769" s="5"/>
      <c r="Y769" s="5"/>
      <c r="Z769" s="5"/>
      <c r="AA769" s="5"/>
      <c r="AB769" s="5"/>
    </row>
    <row r="770">
      <c r="J770" s="58"/>
      <c r="W770" s="51"/>
      <c r="X770" s="5"/>
      <c r="Y770" s="5"/>
      <c r="Z770" s="5"/>
      <c r="AA770" s="5"/>
      <c r="AB770" s="5"/>
    </row>
    <row r="771">
      <c r="J771" s="58"/>
      <c r="W771" s="51"/>
      <c r="X771" s="5"/>
      <c r="Y771" s="5"/>
      <c r="Z771" s="5"/>
      <c r="AA771" s="5"/>
      <c r="AB771" s="5"/>
    </row>
    <row r="772">
      <c r="J772" s="58"/>
      <c r="W772" s="51"/>
      <c r="X772" s="5"/>
      <c r="Y772" s="5"/>
      <c r="Z772" s="5"/>
      <c r="AA772" s="5"/>
      <c r="AB772" s="5"/>
    </row>
    <row r="773">
      <c r="J773" s="58"/>
      <c r="W773" s="51"/>
      <c r="X773" s="5"/>
      <c r="Y773" s="5"/>
      <c r="Z773" s="5"/>
      <c r="AA773" s="5"/>
      <c r="AB773" s="5"/>
    </row>
    <row r="774">
      <c r="J774" s="58"/>
      <c r="W774" s="51"/>
      <c r="X774" s="5"/>
      <c r="Y774" s="5"/>
      <c r="Z774" s="5"/>
      <c r="AA774" s="5"/>
      <c r="AB774" s="5"/>
    </row>
    <row r="775">
      <c r="J775" s="58"/>
      <c r="W775" s="51"/>
      <c r="X775" s="5"/>
      <c r="Y775" s="5"/>
      <c r="Z775" s="5"/>
      <c r="AA775" s="5"/>
      <c r="AB775" s="5"/>
    </row>
    <row r="776">
      <c r="J776" s="58"/>
      <c r="W776" s="51"/>
      <c r="X776" s="5"/>
      <c r="Y776" s="5"/>
      <c r="Z776" s="5"/>
      <c r="AA776" s="5"/>
      <c r="AB776" s="5"/>
    </row>
    <row r="777">
      <c r="J777" s="58"/>
      <c r="W777" s="51"/>
      <c r="X777" s="5"/>
      <c r="Y777" s="5"/>
      <c r="Z777" s="5"/>
      <c r="AA777" s="5"/>
      <c r="AB777" s="5"/>
    </row>
    <row r="778">
      <c r="J778" s="58"/>
      <c r="W778" s="51"/>
      <c r="X778" s="5"/>
      <c r="Y778" s="5"/>
      <c r="Z778" s="5"/>
      <c r="AA778" s="5"/>
      <c r="AB778" s="5"/>
    </row>
    <row r="779">
      <c r="J779" s="58"/>
      <c r="W779" s="51"/>
      <c r="X779" s="5"/>
      <c r="Y779" s="5"/>
      <c r="Z779" s="5"/>
      <c r="AA779" s="5"/>
      <c r="AB779" s="5"/>
    </row>
    <row r="780">
      <c r="J780" s="58"/>
      <c r="W780" s="51"/>
      <c r="X780" s="5"/>
      <c r="Y780" s="5"/>
      <c r="Z780" s="5"/>
      <c r="AA780" s="5"/>
      <c r="AB780" s="5"/>
    </row>
    <row r="781">
      <c r="J781" s="58"/>
      <c r="W781" s="51"/>
      <c r="X781" s="5"/>
      <c r="Y781" s="5"/>
      <c r="Z781" s="5"/>
      <c r="AA781" s="5"/>
      <c r="AB781" s="5"/>
    </row>
    <row r="782">
      <c r="J782" s="58"/>
      <c r="W782" s="51"/>
      <c r="X782" s="5"/>
      <c r="Y782" s="5"/>
      <c r="Z782" s="5"/>
      <c r="AA782" s="5"/>
      <c r="AB782" s="5"/>
    </row>
    <row r="783">
      <c r="J783" s="58"/>
      <c r="W783" s="51"/>
      <c r="X783" s="5"/>
      <c r="Y783" s="5"/>
      <c r="Z783" s="5"/>
      <c r="AA783" s="5"/>
      <c r="AB783" s="5"/>
    </row>
    <row r="784">
      <c r="J784" s="58"/>
      <c r="W784" s="51"/>
      <c r="X784" s="5"/>
      <c r="Y784" s="5"/>
      <c r="Z784" s="5"/>
      <c r="AA784" s="5"/>
      <c r="AB784" s="5"/>
    </row>
    <row r="785">
      <c r="J785" s="58"/>
      <c r="W785" s="51"/>
      <c r="X785" s="5"/>
      <c r="Y785" s="5"/>
      <c r="Z785" s="5"/>
      <c r="AA785" s="5"/>
      <c r="AB785" s="5"/>
    </row>
    <row r="786">
      <c r="J786" s="58"/>
      <c r="W786" s="51"/>
      <c r="X786" s="5"/>
      <c r="Y786" s="5"/>
      <c r="Z786" s="5"/>
      <c r="AA786" s="5"/>
      <c r="AB786" s="5"/>
    </row>
    <row r="787">
      <c r="J787" s="58"/>
      <c r="W787" s="51"/>
      <c r="X787" s="5"/>
      <c r="Y787" s="5"/>
      <c r="Z787" s="5"/>
      <c r="AA787" s="5"/>
      <c r="AB787" s="5"/>
    </row>
    <row r="788">
      <c r="J788" s="58"/>
      <c r="W788" s="51"/>
      <c r="X788" s="5"/>
      <c r="Y788" s="5"/>
      <c r="Z788" s="5"/>
      <c r="AA788" s="5"/>
      <c r="AB788" s="5"/>
    </row>
    <row r="789">
      <c r="J789" s="58"/>
      <c r="W789" s="51"/>
      <c r="X789" s="5"/>
      <c r="Y789" s="5"/>
      <c r="Z789" s="5"/>
      <c r="AA789" s="5"/>
      <c r="AB789" s="5"/>
    </row>
    <row r="790">
      <c r="J790" s="58"/>
      <c r="W790" s="51"/>
      <c r="X790" s="5"/>
      <c r="Y790" s="5"/>
      <c r="Z790" s="5"/>
      <c r="AA790" s="5"/>
      <c r="AB790" s="5"/>
    </row>
    <row r="791">
      <c r="J791" s="58"/>
      <c r="W791" s="51"/>
      <c r="X791" s="5"/>
      <c r="Y791" s="5"/>
      <c r="Z791" s="5"/>
      <c r="AA791" s="5"/>
      <c r="AB791" s="5"/>
    </row>
    <row r="792">
      <c r="J792" s="58"/>
      <c r="W792" s="51"/>
      <c r="X792" s="5"/>
      <c r="Y792" s="5"/>
      <c r="Z792" s="5"/>
      <c r="AA792" s="5"/>
      <c r="AB792" s="5"/>
    </row>
    <row r="793">
      <c r="J793" s="58"/>
      <c r="W793" s="51"/>
      <c r="X793" s="5"/>
      <c r="Y793" s="5"/>
      <c r="Z793" s="5"/>
      <c r="AA793" s="5"/>
      <c r="AB793" s="5"/>
    </row>
    <row r="794">
      <c r="J794" s="58"/>
      <c r="W794" s="51"/>
      <c r="X794" s="5"/>
      <c r="Y794" s="5"/>
      <c r="Z794" s="5"/>
      <c r="AA794" s="5"/>
      <c r="AB794" s="5"/>
    </row>
    <row r="795">
      <c r="J795" s="58"/>
      <c r="W795" s="51"/>
      <c r="X795" s="5"/>
      <c r="Y795" s="5"/>
      <c r="Z795" s="5"/>
      <c r="AA795" s="5"/>
      <c r="AB795" s="5"/>
    </row>
    <row r="796">
      <c r="J796" s="58"/>
      <c r="W796" s="51"/>
      <c r="X796" s="5"/>
      <c r="Y796" s="5"/>
      <c r="Z796" s="5"/>
      <c r="AA796" s="5"/>
      <c r="AB796" s="5"/>
    </row>
    <row r="797">
      <c r="J797" s="58"/>
      <c r="W797" s="51"/>
      <c r="X797" s="5"/>
      <c r="Y797" s="5"/>
      <c r="Z797" s="5"/>
      <c r="AA797" s="5"/>
      <c r="AB797" s="5"/>
    </row>
    <row r="798">
      <c r="J798" s="58"/>
      <c r="W798" s="51"/>
      <c r="X798" s="5"/>
      <c r="Y798" s="5"/>
      <c r="Z798" s="5"/>
      <c r="AA798" s="5"/>
      <c r="AB798" s="5"/>
    </row>
    <row r="799">
      <c r="J799" s="58"/>
      <c r="W799" s="51"/>
      <c r="X799" s="5"/>
      <c r="Y799" s="5"/>
      <c r="Z799" s="5"/>
      <c r="AA799" s="5"/>
      <c r="AB799" s="5"/>
    </row>
    <row r="800">
      <c r="J800" s="58"/>
      <c r="W800" s="51"/>
      <c r="X800" s="5"/>
      <c r="Y800" s="5"/>
      <c r="Z800" s="5"/>
      <c r="AA800" s="5"/>
      <c r="AB800" s="5"/>
    </row>
    <row r="801">
      <c r="J801" s="58"/>
      <c r="W801" s="51"/>
      <c r="X801" s="5"/>
      <c r="Y801" s="5"/>
      <c r="Z801" s="5"/>
      <c r="AA801" s="5"/>
      <c r="AB801" s="5"/>
    </row>
    <row r="802">
      <c r="J802" s="58"/>
      <c r="W802" s="51"/>
      <c r="X802" s="5"/>
      <c r="Y802" s="5"/>
      <c r="Z802" s="5"/>
      <c r="AA802" s="5"/>
      <c r="AB802" s="5"/>
    </row>
    <row r="803">
      <c r="J803" s="58"/>
      <c r="W803" s="51"/>
      <c r="X803" s="5"/>
      <c r="Y803" s="5"/>
      <c r="Z803" s="5"/>
      <c r="AA803" s="5"/>
      <c r="AB803" s="5"/>
    </row>
    <row r="804">
      <c r="J804" s="58"/>
      <c r="W804" s="51"/>
      <c r="X804" s="5"/>
      <c r="Y804" s="5"/>
      <c r="Z804" s="5"/>
      <c r="AA804" s="5"/>
      <c r="AB804" s="5"/>
    </row>
    <row r="805">
      <c r="J805" s="58"/>
      <c r="W805" s="51"/>
      <c r="X805" s="5"/>
      <c r="Y805" s="5"/>
      <c r="Z805" s="5"/>
      <c r="AA805" s="5"/>
      <c r="AB805" s="5"/>
    </row>
    <row r="806">
      <c r="J806" s="58"/>
      <c r="W806" s="51"/>
      <c r="X806" s="5"/>
      <c r="Y806" s="5"/>
      <c r="Z806" s="5"/>
      <c r="AA806" s="5"/>
      <c r="AB806" s="5"/>
    </row>
    <row r="807">
      <c r="J807" s="58"/>
      <c r="W807" s="51"/>
      <c r="X807" s="5"/>
      <c r="Y807" s="5"/>
      <c r="Z807" s="5"/>
      <c r="AA807" s="5"/>
      <c r="AB807" s="5"/>
    </row>
    <row r="808">
      <c r="J808" s="58"/>
      <c r="W808" s="51"/>
      <c r="X808" s="5"/>
      <c r="Y808" s="5"/>
      <c r="Z808" s="5"/>
      <c r="AA808" s="5"/>
      <c r="AB808" s="5"/>
    </row>
    <row r="809">
      <c r="J809" s="58"/>
      <c r="W809" s="51"/>
      <c r="X809" s="5"/>
      <c r="Y809" s="5"/>
      <c r="Z809" s="5"/>
      <c r="AA809" s="5"/>
      <c r="AB809" s="5"/>
    </row>
    <row r="810">
      <c r="J810" s="58"/>
      <c r="W810" s="51"/>
      <c r="X810" s="5"/>
      <c r="Y810" s="5"/>
      <c r="Z810" s="5"/>
      <c r="AA810" s="5"/>
      <c r="AB810" s="5"/>
    </row>
    <row r="811">
      <c r="J811" s="58"/>
      <c r="W811" s="51"/>
      <c r="X811" s="5"/>
      <c r="Y811" s="5"/>
      <c r="Z811" s="5"/>
      <c r="AA811" s="5"/>
      <c r="AB811" s="5"/>
    </row>
    <row r="812">
      <c r="J812" s="58"/>
      <c r="W812" s="51"/>
      <c r="X812" s="5"/>
      <c r="Y812" s="5"/>
      <c r="Z812" s="5"/>
      <c r="AA812" s="5"/>
      <c r="AB812" s="5"/>
    </row>
    <row r="813">
      <c r="J813" s="58"/>
      <c r="W813" s="51"/>
      <c r="X813" s="5"/>
      <c r="Y813" s="5"/>
      <c r="Z813" s="5"/>
      <c r="AA813" s="5"/>
      <c r="AB813" s="5"/>
    </row>
    <row r="814">
      <c r="J814" s="58"/>
      <c r="W814" s="51"/>
      <c r="X814" s="5"/>
      <c r="Y814" s="5"/>
      <c r="Z814" s="5"/>
      <c r="AA814" s="5"/>
      <c r="AB814" s="5"/>
    </row>
    <row r="815">
      <c r="J815" s="58"/>
      <c r="W815" s="51"/>
      <c r="X815" s="5"/>
      <c r="Y815" s="5"/>
      <c r="Z815" s="5"/>
      <c r="AA815" s="5"/>
      <c r="AB815" s="5"/>
    </row>
    <row r="816">
      <c r="J816" s="58"/>
      <c r="W816" s="51"/>
      <c r="X816" s="5"/>
      <c r="Y816" s="5"/>
      <c r="Z816" s="5"/>
      <c r="AA816" s="5"/>
      <c r="AB816" s="5"/>
    </row>
    <row r="817">
      <c r="J817" s="58"/>
      <c r="W817" s="51"/>
      <c r="X817" s="5"/>
      <c r="Y817" s="5"/>
      <c r="Z817" s="5"/>
      <c r="AA817" s="5"/>
      <c r="AB817" s="5"/>
    </row>
    <row r="818">
      <c r="J818" s="58"/>
      <c r="W818" s="51"/>
      <c r="X818" s="5"/>
      <c r="Y818" s="5"/>
      <c r="Z818" s="5"/>
      <c r="AA818" s="5"/>
      <c r="AB818" s="5"/>
    </row>
    <row r="819">
      <c r="J819" s="58"/>
      <c r="W819" s="51"/>
      <c r="X819" s="5"/>
      <c r="Y819" s="5"/>
      <c r="Z819" s="5"/>
      <c r="AA819" s="5"/>
      <c r="AB819" s="5"/>
    </row>
    <row r="820">
      <c r="J820" s="58"/>
      <c r="W820" s="51"/>
      <c r="X820" s="5"/>
      <c r="Y820" s="5"/>
      <c r="Z820" s="5"/>
      <c r="AA820" s="5"/>
      <c r="AB820" s="5"/>
    </row>
    <row r="821">
      <c r="J821" s="58"/>
      <c r="W821" s="51"/>
      <c r="X821" s="5"/>
      <c r="Y821" s="5"/>
      <c r="Z821" s="5"/>
      <c r="AA821" s="5"/>
      <c r="AB821" s="5"/>
    </row>
    <row r="822">
      <c r="J822" s="58"/>
      <c r="W822" s="51"/>
      <c r="X822" s="5"/>
      <c r="Y822" s="5"/>
      <c r="Z822" s="5"/>
      <c r="AA822" s="5"/>
      <c r="AB822" s="5"/>
    </row>
    <row r="823">
      <c r="J823" s="58"/>
      <c r="W823" s="51"/>
      <c r="X823" s="5"/>
      <c r="Y823" s="5"/>
      <c r="Z823" s="5"/>
      <c r="AA823" s="5"/>
      <c r="AB823" s="5"/>
    </row>
    <row r="824">
      <c r="J824" s="58"/>
      <c r="W824" s="51"/>
      <c r="X824" s="5"/>
      <c r="Y824" s="5"/>
      <c r="Z824" s="5"/>
      <c r="AA824" s="5"/>
      <c r="AB824" s="5"/>
    </row>
    <row r="825">
      <c r="J825" s="58"/>
      <c r="W825" s="51"/>
      <c r="X825" s="5"/>
      <c r="Y825" s="5"/>
      <c r="Z825" s="5"/>
      <c r="AA825" s="5"/>
      <c r="AB825" s="5"/>
    </row>
    <row r="826">
      <c r="J826" s="58"/>
      <c r="W826" s="51"/>
      <c r="X826" s="5"/>
      <c r="Y826" s="5"/>
      <c r="Z826" s="5"/>
      <c r="AA826" s="5"/>
      <c r="AB826" s="5"/>
    </row>
    <row r="827">
      <c r="J827" s="58"/>
      <c r="W827" s="51"/>
      <c r="X827" s="5"/>
      <c r="Y827" s="5"/>
      <c r="Z827" s="5"/>
      <c r="AA827" s="5"/>
      <c r="AB827" s="5"/>
    </row>
    <row r="828">
      <c r="J828" s="58"/>
      <c r="W828" s="51"/>
      <c r="X828" s="5"/>
      <c r="Y828" s="5"/>
      <c r="Z828" s="5"/>
      <c r="AA828" s="5"/>
      <c r="AB828" s="5"/>
    </row>
    <row r="829">
      <c r="J829" s="58"/>
      <c r="W829" s="51"/>
      <c r="X829" s="5"/>
      <c r="Y829" s="5"/>
      <c r="Z829" s="5"/>
      <c r="AA829" s="5"/>
      <c r="AB829" s="5"/>
    </row>
    <row r="830">
      <c r="J830" s="58"/>
      <c r="W830" s="51"/>
      <c r="X830" s="5"/>
      <c r="Y830" s="5"/>
      <c r="Z830" s="5"/>
      <c r="AA830" s="5"/>
      <c r="AB830" s="5"/>
    </row>
    <row r="831">
      <c r="J831" s="58"/>
      <c r="W831" s="51"/>
      <c r="X831" s="5"/>
      <c r="Y831" s="5"/>
      <c r="Z831" s="5"/>
      <c r="AA831" s="5"/>
      <c r="AB831" s="5"/>
    </row>
    <row r="832">
      <c r="J832" s="58"/>
      <c r="W832" s="51"/>
      <c r="X832" s="5"/>
      <c r="Y832" s="5"/>
      <c r="Z832" s="5"/>
      <c r="AA832" s="5"/>
      <c r="AB832" s="5"/>
    </row>
    <row r="833">
      <c r="J833" s="58"/>
      <c r="W833" s="51"/>
      <c r="X833" s="5"/>
      <c r="Y833" s="5"/>
      <c r="Z833" s="5"/>
      <c r="AA833" s="5"/>
      <c r="AB833" s="5"/>
    </row>
    <row r="834">
      <c r="J834" s="58"/>
      <c r="W834" s="51"/>
      <c r="X834" s="5"/>
      <c r="Y834" s="5"/>
      <c r="Z834" s="5"/>
      <c r="AA834" s="5"/>
      <c r="AB834" s="5"/>
    </row>
    <row r="835">
      <c r="J835" s="58"/>
      <c r="W835" s="51"/>
      <c r="X835" s="5"/>
      <c r="Y835" s="5"/>
      <c r="Z835" s="5"/>
      <c r="AA835" s="5"/>
      <c r="AB835" s="5"/>
    </row>
    <row r="836">
      <c r="J836" s="58"/>
      <c r="W836" s="51"/>
      <c r="X836" s="5"/>
      <c r="Y836" s="5"/>
      <c r="Z836" s="5"/>
      <c r="AA836" s="5"/>
      <c r="AB836" s="5"/>
    </row>
    <row r="837">
      <c r="J837" s="58"/>
      <c r="W837" s="51"/>
      <c r="X837" s="5"/>
      <c r="Y837" s="5"/>
      <c r="Z837" s="5"/>
      <c r="AA837" s="5"/>
      <c r="AB837" s="5"/>
    </row>
    <row r="838">
      <c r="J838" s="58"/>
      <c r="W838" s="51"/>
      <c r="X838" s="5"/>
      <c r="Y838" s="5"/>
      <c r="Z838" s="5"/>
      <c r="AA838" s="5"/>
      <c r="AB838" s="5"/>
    </row>
    <row r="839">
      <c r="J839" s="58"/>
      <c r="W839" s="51"/>
      <c r="X839" s="5"/>
      <c r="Y839" s="5"/>
      <c r="Z839" s="5"/>
      <c r="AA839" s="5"/>
      <c r="AB839" s="5"/>
    </row>
    <row r="840">
      <c r="J840" s="58"/>
      <c r="W840" s="51"/>
      <c r="X840" s="5"/>
      <c r="Y840" s="5"/>
      <c r="Z840" s="5"/>
      <c r="AA840" s="5"/>
      <c r="AB840" s="5"/>
    </row>
    <row r="841">
      <c r="J841" s="58"/>
      <c r="W841" s="51"/>
      <c r="X841" s="5"/>
      <c r="Y841" s="5"/>
      <c r="Z841" s="5"/>
      <c r="AA841" s="5"/>
      <c r="AB841" s="5"/>
    </row>
    <row r="842">
      <c r="J842" s="58"/>
      <c r="W842" s="51"/>
      <c r="X842" s="5"/>
      <c r="Y842" s="5"/>
      <c r="Z842" s="5"/>
      <c r="AA842" s="5"/>
      <c r="AB842" s="5"/>
    </row>
    <row r="843">
      <c r="J843" s="58"/>
      <c r="W843" s="51"/>
      <c r="X843" s="5"/>
      <c r="Y843" s="5"/>
      <c r="Z843" s="5"/>
      <c r="AA843" s="5"/>
      <c r="AB843" s="5"/>
    </row>
    <row r="844">
      <c r="J844" s="58"/>
      <c r="W844" s="51"/>
      <c r="X844" s="5"/>
      <c r="Y844" s="5"/>
      <c r="Z844" s="5"/>
      <c r="AA844" s="5"/>
      <c r="AB844" s="5"/>
    </row>
    <row r="845">
      <c r="J845" s="58"/>
      <c r="W845" s="51"/>
      <c r="X845" s="5"/>
      <c r="Y845" s="5"/>
      <c r="Z845" s="5"/>
      <c r="AA845" s="5"/>
      <c r="AB845" s="5"/>
    </row>
    <row r="846">
      <c r="J846" s="58"/>
      <c r="W846" s="51"/>
      <c r="X846" s="5"/>
      <c r="Y846" s="5"/>
      <c r="Z846" s="5"/>
      <c r="AA846" s="5"/>
      <c r="AB846" s="5"/>
    </row>
    <row r="847">
      <c r="J847" s="58"/>
      <c r="W847" s="51"/>
      <c r="X847" s="5"/>
      <c r="Y847" s="5"/>
      <c r="Z847" s="5"/>
      <c r="AA847" s="5"/>
      <c r="AB847" s="5"/>
    </row>
    <row r="848">
      <c r="J848" s="58"/>
      <c r="W848" s="51"/>
      <c r="X848" s="5"/>
      <c r="Y848" s="5"/>
      <c r="Z848" s="5"/>
      <c r="AA848" s="5"/>
      <c r="AB848" s="5"/>
    </row>
    <row r="849">
      <c r="J849" s="58"/>
      <c r="W849" s="51"/>
      <c r="X849" s="5"/>
      <c r="Y849" s="5"/>
      <c r="Z849" s="5"/>
      <c r="AA849" s="5"/>
      <c r="AB849" s="5"/>
    </row>
    <row r="850">
      <c r="J850" s="58"/>
      <c r="W850" s="51"/>
      <c r="X850" s="5"/>
      <c r="Y850" s="5"/>
      <c r="Z850" s="5"/>
      <c r="AA850" s="5"/>
      <c r="AB850" s="5"/>
    </row>
    <row r="851">
      <c r="J851" s="58"/>
      <c r="W851" s="51"/>
      <c r="X851" s="5"/>
      <c r="Y851" s="5"/>
      <c r="Z851" s="5"/>
      <c r="AA851" s="5"/>
      <c r="AB851" s="5"/>
    </row>
    <row r="852">
      <c r="J852" s="58"/>
      <c r="W852" s="51"/>
      <c r="X852" s="5"/>
      <c r="Y852" s="5"/>
      <c r="Z852" s="5"/>
      <c r="AA852" s="5"/>
      <c r="AB852" s="5"/>
    </row>
    <row r="853">
      <c r="J853" s="58"/>
      <c r="W853" s="51"/>
      <c r="X853" s="5"/>
      <c r="Y853" s="5"/>
      <c r="Z853" s="5"/>
      <c r="AA853" s="5"/>
      <c r="AB853" s="5"/>
    </row>
    <row r="854">
      <c r="J854" s="58"/>
      <c r="W854" s="51"/>
      <c r="X854" s="5"/>
      <c r="Y854" s="5"/>
      <c r="Z854" s="5"/>
      <c r="AA854" s="5"/>
      <c r="AB854" s="5"/>
    </row>
    <row r="855">
      <c r="J855" s="58"/>
      <c r="W855" s="51"/>
      <c r="X855" s="5"/>
      <c r="Y855" s="5"/>
      <c r="Z855" s="5"/>
      <c r="AA855" s="5"/>
      <c r="AB855" s="5"/>
    </row>
    <row r="856">
      <c r="J856" s="58"/>
      <c r="W856" s="51"/>
      <c r="X856" s="5"/>
      <c r="Y856" s="5"/>
      <c r="Z856" s="5"/>
      <c r="AA856" s="5"/>
      <c r="AB856" s="5"/>
    </row>
    <row r="857">
      <c r="J857" s="58"/>
      <c r="W857" s="51"/>
      <c r="X857" s="5"/>
      <c r="Y857" s="5"/>
      <c r="Z857" s="5"/>
      <c r="AA857" s="5"/>
      <c r="AB857" s="5"/>
    </row>
    <row r="858">
      <c r="J858" s="58"/>
      <c r="W858" s="51"/>
      <c r="X858" s="5"/>
      <c r="Y858" s="5"/>
      <c r="Z858" s="5"/>
      <c r="AA858" s="5"/>
      <c r="AB858" s="5"/>
    </row>
    <row r="859">
      <c r="J859" s="58"/>
      <c r="W859" s="51"/>
      <c r="X859" s="5"/>
      <c r="Y859" s="5"/>
      <c r="Z859" s="5"/>
      <c r="AA859" s="5"/>
      <c r="AB859" s="5"/>
    </row>
    <row r="860">
      <c r="J860" s="58"/>
      <c r="W860" s="51"/>
      <c r="X860" s="5"/>
      <c r="Y860" s="5"/>
      <c r="Z860" s="5"/>
      <c r="AA860" s="5"/>
      <c r="AB860" s="5"/>
    </row>
    <row r="861">
      <c r="J861" s="58"/>
      <c r="W861" s="51"/>
      <c r="X861" s="5"/>
      <c r="Y861" s="5"/>
      <c r="Z861" s="5"/>
      <c r="AA861" s="5"/>
      <c r="AB861" s="5"/>
    </row>
    <row r="862">
      <c r="J862" s="58"/>
      <c r="W862" s="51"/>
      <c r="X862" s="5"/>
      <c r="Y862" s="5"/>
      <c r="Z862" s="5"/>
      <c r="AA862" s="5"/>
      <c r="AB862" s="5"/>
    </row>
    <row r="863">
      <c r="J863" s="58"/>
      <c r="W863" s="51"/>
      <c r="X863" s="5"/>
      <c r="Y863" s="5"/>
      <c r="Z863" s="5"/>
      <c r="AA863" s="5"/>
      <c r="AB863" s="5"/>
    </row>
    <row r="864">
      <c r="J864" s="58"/>
      <c r="W864" s="51"/>
      <c r="X864" s="5"/>
      <c r="Y864" s="5"/>
      <c r="Z864" s="5"/>
      <c r="AA864" s="5"/>
      <c r="AB864" s="5"/>
    </row>
    <row r="865">
      <c r="J865" s="58"/>
      <c r="W865" s="51"/>
      <c r="X865" s="5"/>
      <c r="Y865" s="5"/>
      <c r="Z865" s="5"/>
      <c r="AA865" s="5"/>
      <c r="AB865" s="5"/>
    </row>
    <row r="866">
      <c r="J866" s="58"/>
      <c r="W866" s="51"/>
      <c r="X866" s="5"/>
      <c r="Y866" s="5"/>
      <c r="Z866" s="5"/>
      <c r="AA866" s="5"/>
      <c r="AB866" s="5"/>
    </row>
    <row r="867">
      <c r="J867" s="58"/>
      <c r="W867" s="51"/>
      <c r="X867" s="5"/>
      <c r="Y867" s="5"/>
      <c r="Z867" s="5"/>
      <c r="AA867" s="5"/>
      <c r="AB867" s="5"/>
    </row>
    <row r="868">
      <c r="J868" s="58"/>
      <c r="W868" s="51"/>
      <c r="X868" s="5"/>
      <c r="Y868" s="5"/>
      <c r="Z868" s="5"/>
      <c r="AA868" s="5"/>
      <c r="AB868" s="5"/>
    </row>
    <row r="869">
      <c r="J869" s="58"/>
      <c r="W869" s="51"/>
      <c r="X869" s="5"/>
      <c r="Y869" s="5"/>
      <c r="Z869" s="5"/>
      <c r="AA869" s="5"/>
      <c r="AB869" s="5"/>
    </row>
    <row r="870">
      <c r="J870" s="58"/>
      <c r="W870" s="51"/>
      <c r="X870" s="5"/>
      <c r="Y870" s="5"/>
      <c r="Z870" s="5"/>
      <c r="AA870" s="5"/>
      <c r="AB870" s="5"/>
    </row>
    <row r="871">
      <c r="J871" s="58"/>
      <c r="W871" s="51"/>
      <c r="X871" s="5"/>
      <c r="Y871" s="5"/>
      <c r="Z871" s="5"/>
      <c r="AA871" s="5"/>
      <c r="AB871" s="5"/>
    </row>
    <row r="872">
      <c r="J872" s="58"/>
      <c r="W872" s="51"/>
      <c r="X872" s="5"/>
      <c r="Y872" s="5"/>
      <c r="Z872" s="5"/>
      <c r="AA872" s="5"/>
      <c r="AB872" s="5"/>
    </row>
    <row r="873">
      <c r="J873" s="58"/>
      <c r="W873" s="51"/>
      <c r="X873" s="5"/>
      <c r="Y873" s="5"/>
      <c r="Z873" s="5"/>
      <c r="AA873" s="5"/>
      <c r="AB873" s="5"/>
    </row>
    <row r="874">
      <c r="J874" s="58"/>
      <c r="W874" s="51"/>
      <c r="X874" s="5"/>
      <c r="Y874" s="5"/>
      <c r="Z874" s="5"/>
      <c r="AA874" s="5"/>
      <c r="AB874" s="5"/>
    </row>
    <row r="875">
      <c r="J875" s="58"/>
      <c r="W875" s="51"/>
      <c r="X875" s="5"/>
      <c r="Y875" s="5"/>
      <c r="Z875" s="5"/>
      <c r="AA875" s="5"/>
      <c r="AB875" s="5"/>
    </row>
    <row r="876">
      <c r="J876" s="58"/>
      <c r="W876" s="51"/>
      <c r="X876" s="5"/>
      <c r="Y876" s="5"/>
      <c r="Z876" s="5"/>
      <c r="AA876" s="5"/>
      <c r="AB876" s="5"/>
    </row>
    <row r="877">
      <c r="J877" s="58"/>
      <c r="W877" s="51"/>
      <c r="X877" s="5"/>
      <c r="Y877" s="5"/>
      <c r="Z877" s="5"/>
      <c r="AA877" s="5"/>
      <c r="AB877" s="5"/>
    </row>
    <row r="878">
      <c r="J878" s="58"/>
      <c r="W878" s="51"/>
      <c r="X878" s="5"/>
      <c r="Y878" s="5"/>
      <c r="Z878" s="5"/>
      <c r="AA878" s="5"/>
      <c r="AB878" s="5"/>
    </row>
    <row r="879">
      <c r="J879" s="58"/>
      <c r="W879" s="51"/>
      <c r="X879" s="5"/>
      <c r="Y879" s="5"/>
      <c r="Z879" s="5"/>
      <c r="AA879" s="5"/>
      <c r="AB879" s="5"/>
    </row>
    <row r="880">
      <c r="J880" s="58"/>
      <c r="W880" s="51"/>
      <c r="X880" s="5"/>
      <c r="Y880" s="5"/>
      <c r="Z880" s="5"/>
      <c r="AA880" s="5"/>
      <c r="AB880" s="5"/>
    </row>
    <row r="881">
      <c r="J881" s="58"/>
      <c r="W881" s="51"/>
      <c r="X881" s="5"/>
      <c r="Y881" s="5"/>
      <c r="Z881" s="5"/>
      <c r="AA881" s="5"/>
      <c r="AB881" s="5"/>
    </row>
    <row r="882">
      <c r="J882" s="58"/>
      <c r="W882" s="51"/>
      <c r="X882" s="5"/>
      <c r="Y882" s="5"/>
      <c r="Z882" s="5"/>
      <c r="AA882" s="5"/>
      <c r="AB882" s="5"/>
    </row>
    <row r="883">
      <c r="J883" s="58"/>
      <c r="W883" s="51"/>
      <c r="X883" s="5"/>
      <c r="Y883" s="5"/>
      <c r="Z883" s="5"/>
      <c r="AA883" s="5"/>
      <c r="AB883" s="5"/>
    </row>
    <row r="884">
      <c r="J884" s="58"/>
      <c r="W884" s="51"/>
      <c r="X884" s="5"/>
      <c r="Y884" s="5"/>
      <c r="Z884" s="5"/>
      <c r="AA884" s="5"/>
      <c r="AB884" s="5"/>
    </row>
    <row r="885">
      <c r="J885" s="58"/>
      <c r="W885" s="51"/>
      <c r="X885" s="5"/>
      <c r="Y885" s="5"/>
      <c r="Z885" s="5"/>
      <c r="AA885" s="5"/>
      <c r="AB885" s="5"/>
    </row>
    <row r="886">
      <c r="J886" s="58"/>
      <c r="W886" s="51"/>
      <c r="X886" s="5"/>
      <c r="Y886" s="5"/>
      <c r="Z886" s="5"/>
      <c r="AA886" s="5"/>
      <c r="AB886" s="5"/>
    </row>
    <row r="887">
      <c r="J887" s="58"/>
      <c r="W887" s="51"/>
      <c r="X887" s="5"/>
      <c r="Y887" s="5"/>
      <c r="Z887" s="5"/>
      <c r="AA887" s="5"/>
      <c r="AB887" s="5"/>
    </row>
    <row r="888">
      <c r="J888" s="58"/>
      <c r="W888" s="51"/>
      <c r="X888" s="5"/>
      <c r="Y888" s="5"/>
      <c r="Z888" s="5"/>
      <c r="AA888" s="5"/>
      <c r="AB888" s="5"/>
    </row>
    <row r="889">
      <c r="J889" s="58"/>
      <c r="W889" s="51"/>
      <c r="X889" s="5"/>
      <c r="Y889" s="5"/>
      <c r="Z889" s="5"/>
      <c r="AA889" s="5"/>
      <c r="AB889" s="5"/>
    </row>
    <row r="890">
      <c r="J890" s="58"/>
      <c r="W890" s="51"/>
      <c r="X890" s="5"/>
      <c r="Y890" s="5"/>
      <c r="Z890" s="5"/>
      <c r="AA890" s="5"/>
      <c r="AB890" s="5"/>
    </row>
    <row r="891">
      <c r="J891" s="58"/>
      <c r="W891" s="51"/>
      <c r="X891" s="5"/>
      <c r="Y891" s="5"/>
      <c r="Z891" s="5"/>
      <c r="AA891" s="5"/>
      <c r="AB891" s="5"/>
    </row>
    <row r="892">
      <c r="J892" s="58"/>
      <c r="W892" s="51"/>
      <c r="X892" s="5"/>
      <c r="Y892" s="5"/>
      <c r="Z892" s="5"/>
      <c r="AA892" s="5"/>
      <c r="AB892" s="5"/>
    </row>
    <row r="893">
      <c r="J893" s="58"/>
      <c r="W893" s="51"/>
      <c r="X893" s="5"/>
      <c r="Y893" s="5"/>
      <c r="Z893" s="5"/>
      <c r="AA893" s="5"/>
      <c r="AB893" s="5"/>
    </row>
    <row r="894">
      <c r="J894" s="58"/>
      <c r="W894" s="51"/>
      <c r="X894" s="5"/>
      <c r="Y894" s="5"/>
      <c r="Z894" s="5"/>
      <c r="AA894" s="5"/>
      <c r="AB894" s="5"/>
    </row>
    <row r="895">
      <c r="J895" s="58"/>
      <c r="W895" s="51"/>
      <c r="X895" s="5"/>
      <c r="Y895" s="5"/>
      <c r="Z895" s="5"/>
      <c r="AA895" s="5"/>
      <c r="AB895" s="5"/>
    </row>
    <row r="896">
      <c r="J896" s="58"/>
      <c r="W896" s="51"/>
      <c r="X896" s="5"/>
      <c r="Y896" s="5"/>
      <c r="Z896" s="5"/>
      <c r="AA896" s="5"/>
      <c r="AB896" s="5"/>
    </row>
    <row r="897">
      <c r="J897" s="58"/>
      <c r="W897" s="51"/>
      <c r="X897" s="5"/>
      <c r="Y897" s="5"/>
      <c r="Z897" s="5"/>
      <c r="AA897" s="5"/>
      <c r="AB897" s="5"/>
    </row>
    <row r="898">
      <c r="J898" s="58"/>
      <c r="W898" s="51"/>
      <c r="X898" s="5"/>
      <c r="Y898" s="5"/>
      <c r="Z898" s="5"/>
      <c r="AA898" s="5"/>
      <c r="AB898" s="5"/>
    </row>
    <row r="899">
      <c r="J899" s="58"/>
      <c r="W899" s="51"/>
      <c r="X899" s="5"/>
      <c r="Y899" s="5"/>
      <c r="Z899" s="5"/>
      <c r="AA899" s="5"/>
      <c r="AB899" s="5"/>
    </row>
    <row r="900">
      <c r="J900" s="58"/>
      <c r="W900" s="51"/>
      <c r="X900" s="5"/>
      <c r="Y900" s="5"/>
      <c r="Z900" s="5"/>
      <c r="AA900" s="5"/>
      <c r="AB900" s="5"/>
    </row>
    <row r="901">
      <c r="J901" s="58"/>
      <c r="W901" s="51"/>
      <c r="X901" s="5"/>
      <c r="Y901" s="5"/>
      <c r="Z901" s="5"/>
      <c r="AA901" s="5"/>
      <c r="AB901" s="5"/>
    </row>
    <row r="902">
      <c r="J902" s="58"/>
      <c r="W902" s="51"/>
      <c r="X902" s="5"/>
      <c r="Y902" s="5"/>
      <c r="Z902" s="5"/>
      <c r="AA902" s="5"/>
      <c r="AB902" s="5"/>
    </row>
    <row r="903">
      <c r="J903" s="58"/>
      <c r="W903" s="51"/>
      <c r="X903" s="5"/>
      <c r="Y903" s="5"/>
      <c r="Z903" s="5"/>
      <c r="AA903" s="5"/>
      <c r="AB903" s="5"/>
    </row>
    <row r="904">
      <c r="J904" s="58"/>
      <c r="W904" s="51"/>
      <c r="X904" s="5"/>
      <c r="Y904" s="5"/>
      <c r="Z904" s="5"/>
      <c r="AA904" s="5"/>
      <c r="AB904" s="5"/>
    </row>
    <row r="905">
      <c r="J905" s="58"/>
      <c r="W905" s="51"/>
      <c r="X905" s="5"/>
      <c r="Y905" s="5"/>
      <c r="Z905" s="5"/>
      <c r="AA905" s="5"/>
      <c r="AB905" s="5"/>
    </row>
    <row r="906">
      <c r="J906" s="58"/>
      <c r="W906" s="51"/>
      <c r="X906" s="5"/>
      <c r="Y906" s="5"/>
      <c r="Z906" s="5"/>
      <c r="AA906" s="5"/>
      <c r="AB906" s="5"/>
    </row>
    <row r="907">
      <c r="J907" s="58"/>
      <c r="W907" s="51"/>
      <c r="X907" s="5"/>
      <c r="Y907" s="5"/>
      <c r="Z907" s="5"/>
      <c r="AA907" s="5"/>
      <c r="AB907" s="5"/>
    </row>
    <row r="908">
      <c r="J908" s="58"/>
      <c r="W908" s="51"/>
      <c r="X908" s="5"/>
      <c r="Y908" s="5"/>
      <c r="Z908" s="5"/>
      <c r="AA908" s="5"/>
      <c r="AB908" s="5"/>
    </row>
    <row r="909">
      <c r="J909" s="58"/>
      <c r="W909" s="51"/>
      <c r="X909" s="5"/>
      <c r="Y909" s="5"/>
      <c r="Z909" s="5"/>
      <c r="AA909" s="5"/>
      <c r="AB909" s="5"/>
    </row>
    <row r="910">
      <c r="J910" s="58"/>
      <c r="W910" s="51"/>
      <c r="X910" s="5"/>
      <c r="Y910" s="5"/>
      <c r="Z910" s="5"/>
      <c r="AA910" s="5"/>
      <c r="AB910" s="5"/>
    </row>
    <row r="911">
      <c r="J911" s="58"/>
      <c r="W911" s="51"/>
      <c r="X911" s="5"/>
      <c r="Y911" s="5"/>
      <c r="Z911" s="5"/>
      <c r="AA911" s="5"/>
      <c r="AB911" s="5"/>
    </row>
    <row r="912">
      <c r="J912" s="58"/>
      <c r="W912" s="51"/>
      <c r="X912" s="5"/>
      <c r="Y912" s="5"/>
      <c r="Z912" s="5"/>
      <c r="AA912" s="5"/>
      <c r="AB912" s="5"/>
    </row>
    <row r="913">
      <c r="J913" s="58"/>
      <c r="W913" s="51"/>
      <c r="X913" s="5"/>
      <c r="Y913" s="5"/>
      <c r="Z913" s="5"/>
      <c r="AA913" s="5"/>
      <c r="AB913" s="5"/>
    </row>
    <row r="914">
      <c r="J914" s="58"/>
      <c r="W914" s="51"/>
      <c r="X914" s="5"/>
      <c r="Y914" s="5"/>
      <c r="Z914" s="5"/>
      <c r="AA914" s="5"/>
      <c r="AB914" s="5"/>
    </row>
    <row r="915">
      <c r="J915" s="58"/>
      <c r="W915" s="51"/>
      <c r="X915" s="5"/>
      <c r="Y915" s="5"/>
      <c r="Z915" s="5"/>
      <c r="AA915" s="5"/>
      <c r="AB915" s="5"/>
    </row>
    <row r="916">
      <c r="J916" s="58"/>
      <c r="W916" s="51"/>
      <c r="X916" s="5"/>
      <c r="Y916" s="5"/>
      <c r="Z916" s="5"/>
      <c r="AA916" s="5"/>
      <c r="AB916" s="5"/>
    </row>
    <row r="917">
      <c r="J917" s="58"/>
      <c r="W917" s="51"/>
      <c r="X917" s="5"/>
      <c r="Y917" s="5"/>
      <c r="Z917" s="5"/>
      <c r="AA917" s="5"/>
      <c r="AB917" s="5"/>
    </row>
    <row r="918">
      <c r="J918" s="58"/>
      <c r="W918" s="51"/>
      <c r="X918" s="5"/>
      <c r="Y918" s="5"/>
      <c r="Z918" s="5"/>
      <c r="AA918" s="5"/>
      <c r="AB918" s="5"/>
    </row>
    <row r="919">
      <c r="J919" s="58"/>
      <c r="W919" s="51"/>
      <c r="X919" s="5"/>
      <c r="Y919" s="5"/>
      <c r="Z919" s="5"/>
      <c r="AA919" s="5"/>
      <c r="AB919" s="5"/>
    </row>
    <row r="920">
      <c r="J920" s="58"/>
      <c r="W920" s="51"/>
      <c r="X920" s="5"/>
      <c r="Y920" s="5"/>
      <c r="Z920" s="5"/>
      <c r="AA920" s="5"/>
      <c r="AB920" s="5"/>
    </row>
    <row r="921">
      <c r="J921" s="58"/>
      <c r="W921" s="51"/>
      <c r="X921" s="5"/>
      <c r="Y921" s="5"/>
      <c r="Z921" s="5"/>
      <c r="AA921" s="5"/>
      <c r="AB921" s="5"/>
    </row>
    <row r="922">
      <c r="J922" s="58"/>
      <c r="W922" s="51"/>
      <c r="X922" s="5"/>
      <c r="Y922" s="5"/>
      <c r="Z922" s="5"/>
      <c r="AA922" s="5"/>
      <c r="AB922" s="5"/>
    </row>
    <row r="923">
      <c r="J923" s="58"/>
      <c r="W923" s="51"/>
      <c r="X923" s="5"/>
      <c r="Y923" s="5"/>
      <c r="Z923" s="5"/>
      <c r="AA923" s="5"/>
      <c r="AB923" s="5"/>
    </row>
    <row r="924">
      <c r="J924" s="58"/>
      <c r="W924" s="51"/>
      <c r="X924" s="5"/>
      <c r="Y924" s="5"/>
      <c r="Z924" s="5"/>
      <c r="AA924" s="5"/>
      <c r="AB924" s="5"/>
    </row>
    <row r="925">
      <c r="J925" s="58"/>
      <c r="W925" s="51"/>
      <c r="X925" s="5"/>
      <c r="Y925" s="5"/>
      <c r="Z925" s="5"/>
      <c r="AA925" s="5"/>
      <c r="AB925" s="5"/>
    </row>
    <row r="926">
      <c r="J926" s="58"/>
      <c r="W926" s="51"/>
      <c r="X926" s="5"/>
      <c r="Y926" s="5"/>
      <c r="Z926" s="5"/>
      <c r="AA926" s="5"/>
      <c r="AB926" s="5"/>
    </row>
    <row r="927">
      <c r="J927" s="58"/>
      <c r="W927" s="51"/>
      <c r="X927" s="5"/>
      <c r="Y927" s="5"/>
      <c r="Z927" s="5"/>
      <c r="AA927" s="5"/>
      <c r="AB927" s="5"/>
    </row>
    <row r="928">
      <c r="J928" s="58"/>
      <c r="W928" s="51"/>
      <c r="X928" s="5"/>
      <c r="Y928" s="5"/>
      <c r="Z928" s="5"/>
      <c r="AA928" s="5"/>
      <c r="AB928" s="5"/>
    </row>
    <row r="929">
      <c r="J929" s="58"/>
      <c r="W929" s="51"/>
      <c r="X929" s="5"/>
      <c r="Y929" s="5"/>
      <c r="Z929" s="5"/>
      <c r="AA929" s="5"/>
      <c r="AB929" s="5"/>
    </row>
    <row r="930">
      <c r="J930" s="58"/>
      <c r="W930" s="51"/>
      <c r="X930" s="5"/>
      <c r="Y930" s="5"/>
      <c r="Z930" s="5"/>
      <c r="AA930" s="5"/>
      <c r="AB930" s="5"/>
    </row>
    <row r="931">
      <c r="J931" s="58"/>
      <c r="W931" s="51"/>
      <c r="X931" s="5"/>
      <c r="Y931" s="5"/>
      <c r="Z931" s="5"/>
      <c r="AA931" s="5"/>
      <c r="AB931" s="5"/>
    </row>
    <row r="932">
      <c r="J932" s="58"/>
      <c r="W932" s="51"/>
      <c r="X932" s="5"/>
      <c r="Y932" s="5"/>
      <c r="Z932" s="5"/>
      <c r="AA932" s="5"/>
      <c r="AB932" s="5"/>
    </row>
    <row r="933">
      <c r="J933" s="58"/>
      <c r="W933" s="51"/>
      <c r="X933" s="5"/>
      <c r="Y933" s="5"/>
      <c r="Z933" s="5"/>
      <c r="AA933" s="5"/>
      <c r="AB933" s="5"/>
    </row>
    <row r="934">
      <c r="J934" s="58"/>
      <c r="W934" s="51"/>
      <c r="X934" s="5"/>
      <c r="Y934" s="5"/>
      <c r="Z934" s="5"/>
      <c r="AA934" s="5"/>
      <c r="AB934" s="5"/>
    </row>
    <row r="935">
      <c r="J935" s="58"/>
      <c r="W935" s="51"/>
      <c r="X935" s="5"/>
      <c r="Y935" s="5"/>
      <c r="Z935" s="5"/>
      <c r="AA935" s="5"/>
      <c r="AB935" s="5"/>
    </row>
    <row r="936">
      <c r="J936" s="58"/>
      <c r="W936" s="51"/>
      <c r="X936" s="5"/>
      <c r="Y936" s="5"/>
      <c r="Z936" s="5"/>
      <c r="AA936" s="5"/>
      <c r="AB936" s="5"/>
    </row>
    <row r="937">
      <c r="J937" s="58"/>
      <c r="W937" s="51"/>
      <c r="X937" s="5"/>
      <c r="Y937" s="5"/>
      <c r="Z937" s="5"/>
      <c r="AA937" s="5"/>
      <c r="AB937" s="5"/>
    </row>
    <row r="938">
      <c r="J938" s="58"/>
      <c r="W938" s="51"/>
      <c r="X938" s="5"/>
      <c r="Y938" s="5"/>
      <c r="Z938" s="5"/>
      <c r="AA938" s="5"/>
      <c r="AB938" s="5"/>
    </row>
    <row r="939">
      <c r="J939" s="58"/>
      <c r="W939" s="51"/>
      <c r="X939" s="5"/>
      <c r="Y939" s="5"/>
      <c r="Z939" s="5"/>
      <c r="AA939" s="5"/>
      <c r="AB939" s="5"/>
    </row>
    <row r="940">
      <c r="J940" s="58"/>
      <c r="W940" s="51"/>
      <c r="X940" s="5"/>
      <c r="Y940" s="5"/>
      <c r="Z940" s="5"/>
      <c r="AA940" s="5"/>
      <c r="AB940" s="5"/>
    </row>
    <row r="941">
      <c r="J941" s="58"/>
      <c r="W941" s="51"/>
      <c r="X941" s="5"/>
      <c r="Y941" s="5"/>
      <c r="Z941" s="5"/>
      <c r="AA941" s="5"/>
      <c r="AB941" s="5"/>
    </row>
    <row r="942">
      <c r="J942" s="58"/>
      <c r="W942" s="51"/>
      <c r="X942" s="5"/>
      <c r="Y942" s="5"/>
      <c r="Z942" s="5"/>
      <c r="AA942" s="5"/>
      <c r="AB942" s="5"/>
    </row>
    <row r="943">
      <c r="J943" s="58"/>
      <c r="W943" s="51"/>
      <c r="X943" s="5"/>
      <c r="Y943" s="5"/>
      <c r="Z943" s="5"/>
      <c r="AA943" s="5"/>
      <c r="AB943" s="5"/>
    </row>
    <row r="944">
      <c r="J944" s="58"/>
      <c r="W944" s="51"/>
      <c r="X944" s="5"/>
      <c r="Y944" s="5"/>
      <c r="Z944" s="5"/>
      <c r="AA944" s="5"/>
      <c r="AB944" s="5"/>
    </row>
    <row r="945">
      <c r="J945" s="58"/>
      <c r="W945" s="51"/>
      <c r="X945" s="5"/>
      <c r="Y945" s="5"/>
      <c r="Z945" s="5"/>
      <c r="AA945" s="5"/>
      <c r="AB945" s="5"/>
    </row>
    <row r="946">
      <c r="J946" s="58"/>
      <c r="W946" s="51"/>
      <c r="X946" s="5"/>
      <c r="Y946" s="5"/>
      <c r="Z946" s="5"/>
      <c r="AA946" s="5"/>
      <c r="AB946" s="5"/>
    </row>
    <row r="947">
      <c r="J947" s="58"/>
      <c r="W947" s="51"/>
      <c r="X947" s="5"/>
      <c r="Y947" s="5"/>
      <c r="Z947" s="5"/>
      <c r="AA947" s="5"/>
      <c r="AB947" s="5"/>
    </row>
    <row r="948">
      <c r="J948" s="58"/>
      <c r="W948" s="51"/>
      <c r="X948" s="5"/>
      <c r="Y948" s="5"/>
      <c r="Z948" s="5"/>
      <c r="AA948" s="5"/>
      <c r="AB948" s="5"/>
    </row>
    <row r="949">
      <c r="J949" s="58"/>
      <c r="W949" s="51"/>
      <c r="X949" s="5"/>
      <c r="Y949" s="5"/>
      <c r="Z949" s="5"/>
      <c r="AA949" s="5"/>
      <c r="AB949" s="5"/>
    </row>
    <row r="950">
      <c r="J950" s="58"/>
      <c r="W950" s="51"/>
      <c r="X950" s="5"/>
      <c r="Y950" s="5"/>
      <c r="Z950" s="5"/>
      <c r="AA950" s="5"/>
      <c r="AB950" s="5"/>
    </row>
    <row r="951">
      <c r="J951" s="58"/>
      <c r="W951" s="51"/>
      <c r="X951" s="5"/>
      <c r="Y951" s="5"/>
      <c r="Z951" s="5"/>
      <c r="AA951" s="5"/>
      <c r="AB951" s="5"/>
    </row>
    <row r="952">
      <c r="J952" s="58"/>
      <c r="W952" s="51"/>
      <c r="X952" s="5"/>
      <c r="Y952" s="5"/>
      <c r="Z952" s="5"/>
      <c r="AA952" s="5"/>
      <c r="AB952" s="5"/>
    </row>
    <row r="953">
      <c r="J953" s="58"/>
      <c r="W953" s="51"/>
      <c r="X953" s="5"/>
      <c r="Y953" s="5"/>
      <c r="Z953" s="5"/>
      <c r="AA953" s="5"/>
      <c r="AB953" s="5"/>
    </row>
    <row r="954">
      <c r="J954" s="58"/>
      <c r="W954" s="51"/>
      <c r="X954" s="5"/>
      <c r="Y954" s="5"/>
      <c r="Z954" s="5"/>
      <c r="AA954" s="5"/>
      <c r="AB954" s="5"/>
    </row>
    <row r="955">
      <c r="J955" s="58"/>
      <c r="W955" s="51"/>
      <c r="X955" s="5"/>
      <c r="Y955" s="5"/>
      <c r="Z955" s="5"/>
      <c r="AA955" s="5"/>
      <c r="AB955" s="5"/>
    </row>
    <row r="956">
      <c r="J956" s="58"/>
      <c r="W956" s="51"/>
      <c r="X956" s="5"/>
      <c r="Y956" s="5"/>
      <c r="Z956" s="5"/>
      <c r="AA956" s="5"/>
      <c r="AB956" s="5"/>
    </row>
    <row r="957">
      <c r="J957" s="58"/>
      <c r="W957" s="51"/>
      <c r="X957" s="5"/>
      <c r="Y957" s="5"/>
      <c r="Z957" s="5"/>
      <c r="AA957" s="5"/>
      <c r="AB957" s="5"/>
    </row>
    <row r="958">
      <c r="J958" s="58"/>
      <c r="W958" s="51"/>
      <c r="X958" s="5"/>
      <c r="Y958" s="5"/>
      <c r="Z958" s="5"/>
      <c r="AA958" s="5"/>
      <c r="AB958" s="5"/>
    </row>
    <row r="959">
      <c r="J959" s="58"/>
      <c r="W959" s="51"/>
      <c r="X959" s="5"/>
      <c r="Y959" s="5"/>
      <c r="Z959" s="5"/>
      <c r="AA959" s="5"/>
      <c r="AB959" s="5"/>
    </row>
    <row r="960">
      <c r="J960" s="58"/>
      <c r="W960" s="51"/>
      <c r="X960" s="5"/>
      <c r="Y960" s="5"/>
      <c r="Z960" s="5"/>
      <c r="AA960" s="5"/>
      <c r="AB960" s="5"/>
    </row>
    <row r="961">
      <c r="J961" s="58"/>
      <c r="W961" s="51"/>
      <c r="X961" s="5"/>
      <c r="Y961" s="5"/>
      <c r="Z961" s="5"/>
      <c r="AA961" s="5"/>
      <c r="AB961" s="5"/>
    </row>
    <row r="962">
      <c r="J962" s="58"/>
      <c r="W962" s="51"/>
      <c r="X962" s="5"/>
      <c r="Y962" s="5"/>
      <c r="Z962" s="5"/>
      <c r="AA962" s="5"/>
      <c r="AB962" s="5"/>
    </row>
    <row r="963">
      <c r="J963" s="58"/>
      <c r="W963" s="51"/>
      <c r="X963" s="5"/>
      <c r="Y963" s="5"/>
      <c r="Z963" s="5"/>
      <c r="AA963" s="5"/>
      <c r="AB963" s="5"/>
    </row>
    <row r="964">
      <c r="J964" s="58"/>
      <c r="W964" s="51"/>
      <c r="X964" s="5"/>
      <c r="Y964" s="5"/>
      <c r="Z964" s="5"/>
      <c r="AA964" s="5"/>
      <c r="AB964" s="5"/>
    </row>
    <row r="965">
      <c r="J965" s="58"/>
      <c r="W965" s="51"/>
      <c r="X965" s="5"/>
      <c r="Y965" s="5"/>
      <c r="Z965" s="5"/>
      <c r="AA965" s="5"/>
      <c r="AB965" s="5"/>
    </row>
    <row r="966">
      <c r="J966" s="58"/>
      <c r="W966" s="51"/>
      <c r="X966" s="5"/>
      <c r="Y966" s="5"/>
      <c r="Z966" s="5"/>
      <c r="AA966" s="5"/>
      <c r="AB966" s="5"/>
    </row>
    <row r="967">
      <c r="J967" s="58"/>
      <c r="W967" s="51"/>
      <c r="X967" s="5"/>
      <c r="Y967" s="5"/>
      <c r="Z967" s="5"/>
      <c r="AA967" s="5"/>
      <c r="AB967" s="5"/>
    </row>
    <row r="968">
      <c r="J968" s="58"/>
      <c r="W968" s="51"/>
      <c r="X968" s="5"/>
      <c r="Y968" s="5"/>
      <c r="Z968" s="5"/>
      <c r="AA968" s="5"/>
      <c r="AB968" s="5"/>
    </row>
    <row r="969">
      <c r="J969" s="58"/>
      <c r="W969" s="51"/>
      <c r="X969" s="5"/>
      <c r="Y969" s="5"/>
      <c r="Z969" s="5"/>
      <c r="AA969" s="5"/>
      <c r="AB969" s="5"/>
    </row>
    <row r="970">
      <c r="J970" s="58"/>
      <c r="W970" s="51"/>
      <c r="X970" s="5"/>
      <c r="Y970" s="5"/>
      <c r="Z970" s="5"/>
      <c r="AA970" s="5"/>
      <c r="AB970" s="5"/>
    </row>
    <row r="971">
      <c r="J971" s="58"/>
      <c r="W971" s="51"/>
      <c r="X971" s="5"/>
      <c r="Y971" s="5"/>
      <c r="Z971" s="5"/>
      <c r="AA971" s="5"/>
      <c r="AB971" s="5"/>
    </row>
    <row r="972">
      <c r="J972" s="58"/>
      <c r="W972" s="51"/>
      <c r="X972" s="5"/>
      <c r="Y972" s="5"/>
      <c r="Z972" s="5"/>
      <c r="AA972" s="5"/>
      <c r="AB972" s="5"/>
    </row>
    <row r="973">
      <c r="J973" s="58"/>
      <c r="W973" s="51"/>
      <c r="X973" s="5"/>
      <c r="Y973" s="5"/>
      <c r="Z973" s="5"/>
      <c r="AA973" s="5"/>
      <c r="AB973" s="5"/>
    </row>
    <row r="974">
      <c r="J974" s="58"/>
      <c r="W974" s="51"/>
      <c r="X974" s="5"/>
      <c r="Y974" s="5"/>
      <c r="Z974" s="5"/>
      <c r="AA974" s="5"/>
      <c r="AB974" s="5"/>
    </row>
    <row r="975">
      <c r="J975" s="58"/>
      <c r="W975" s="51"/>
      <c r="X975" s="5"/>
      <c r="Y975" s="5"/>
      <c r="Z975" s="5"/>
      <c r="AA975" s="5"/>
      <c r="AB975" s="5"/>
    </row>
    <row r="976">
      <c r="J976" s="58"/>
      <c r="W976" s="51"/>
      <c r="X976" s="5"/>
      <c r="Y976" s="5"/>
      <c r="Z976" s="5"/>
      <c r="AA976" s="5"/>
      <c r="AB976" s="5"/>
    </row>
    <row r="977">
      <c r="J977" s="58"/>
      <c r="W977" s="51"/>
      <c r="X977" s="5"/>
      <c r="Y977" s="5"/>
      <c r="Z977" s="5"/>
      <c r="AA977" s="5"/>
      <c r="AB977" s="5"/>
    </row>
    <row r="978">
      <c r="J978" s="58"/>
      <c r="W978" s="51"/>
      <c r="X978" s="5"/>
      <c r="Y978" s="5"/>
      <c r="Z978" s="5"/>
      <c r="AA978" s="5"/>
      <c r="AB978" s="5"/>
    </row>
    <row r="979">
      <c r="J979" s="58"/>
      <c r="W979" s="51"/>
      <c r="X979" s="5"/>
      <c r="Y979" s="5"/>
      <c r="Z979" s="5"/>
      <c r="AA979" s="5"/>
      <c r="AB979" s="5"/>
    </row>
    <row r="980">
      <c r="J980" s="58"/>
      <c r="W980" s="51"/>
      <c r="X980" s="5"/>
      <c r="Y980" s="5"/>
      <c r="Z980" s="5"/>
      <c r="AA980" s="5"/>
      <c r="AB980" s="5"/>
    </row>
    <row r="981">
      <c r="J981" s="58"/>
      <c r="W981" s="51"/>
      <c r="X981" s="5"/>
      <c r="Y981" s="5"/>
      <c r="Z981" s="5"/>
      <c r="AA981" s="5"/>
      <c r="AB981" s="5"/>
    </row>
    <row r="982">
      <c r="J982" s="58"/>
      <c r="W982" s="51"/>
      <c r="X982" s="5"/>
      <c r="Y982" s="5"/>
      <c r="Z982" s="5"/>
      <c r="AA982" s="5"/>
      <c r="AB982" s="5"/>
    </row>
    <row r="983">
      <c r="J983" s="58"/>
      <c r="W983" s="51"/>
      <c r="X983" s="5"/>
      <c r="Y983" s="5"/>
      <c r="Z983" s="5"/>
      <c r="AA983" s="5"/>
      <c r="AB983" s="5"/>
    </row>
    <row r="984">
      <c r="J984" s="58"/>
      <c r="W984" s="51"/>
      <c r="X984" s="5"/>
      <c r="Y984" s="5"/>
      <c r="Z984" s="5"/>
      <c r="AA984" s="5"/>
      <c r="AB984" s="5"/>
    </row>
    <row r="985">
      <c r="J985" s="58"/>
      <c r="W985" s="51"/>
      <c r="X985" s="5"/>
      <c r="Y985" s="5"/>
      <c r="Z985" s="5"/>
      <c r="AA985" s="5"/>
      <c r="AB985" s="5"/>
    </row>
    <row r="986">
      <c r="J986" s="58"/>
      <c r="W986" s="51"/>
      <c r="X986" s="5"/>
      <c r="Y986" s="5"/>
      <c r="Z986" s="5"/>
      <c r="AA986" s="5"/>
      <c r="AB986" s="5"/>
    </row>
    <row r="987">
      <c r="J987" s="58"/>
      <c r="W987" s="51"/>
      <c r="X987" s="5"/>
      <c r="Y987" s="5"/>
      <c r="Z987" s="5"/>
      <c r="AA987" s="5"/>
      <c r="AB987" s="5"/>
    </row>
    <row r="988">
      <c r="J988" s="58"/>
      <c r="W988" s="51"/>
      <c r="X988" s="5"/>
      <c r="Y988" s="5"/>
      <c r="Z988" s="5"/>
      <c r="AA988" s="5"/>
      <c r="AB988" s="5"/>
    </row>
    <row r="989">
      <c r="J989" s="58"/>
      <c r="W989" s="51"/>
      <c r="X989" s="5"/>
      <c r="Y989" s="5"/>
      <c r="Z989" s="5"/>
      <c r="AA989" s="5"/>
      <c r="AB989" s="5"/>
    </row>
    <row r="990">
      <c r="J990" s="58"/>
      <c r="W990" s="51"/>
      <c r="X990" s="5"/>
      <c r="Y990" s="5"/>
      <c r="Z990" s="5"/>
      <c r="AA990" s="5"/>
      <c r="AB990" s="5"/>
    </row>
    <row r="991">
      <c r="J991" s="58"/>
      <c r="W991" s="51"/>
      <c r="X991" s="5"/>
      <c r="Y991" s="5"/>
      <c r="Z991" s="5"/>
      <c r="AA991" s="5"/>
      <c r="AB991" s="5"/>
    </row>
    <row r="992">
      <c r="J992" s="58"/>
      <c r="W992" s="51"/>
      <c r="X992" s="5"/>
      <c r="Y992" s="5"/>
      <c r="Z992" s="5"/>
      <c r="AA992" s="5"/>
      <c r="AB992" s="5"/>
    </row>
    <row r="993">
      <c r="J993" s="58"/>
      <c r="W993" s="51"/>
      <c r="X993" s="5"/>
      <c r="Y993" s="5"/>
      <c r="Z993" s="5"/>
      <c r="AA993" s="5"/>
      <c r="AB993" s="5"/>
    </row>
    <row r="994">
      <c r="J994" s="58"/>
      <c r="W994" s="51"/>
      <c r="X994" s="5"/>
      <c r="Y994" s="5"/>
      <c r="Z994" s="5"/>
      <c r="AA994" s="5"/>
      <c r="AB994" s="5"/>
    </row>
    <row r="995">
      <c r="J995" s="58"/>
      <c r="W995" s="51"/>
      <c r="X995" s="5"/>
      <c r="Y995" s="5"/>
      <c r="Z995" s="5"/>
      <c r="AA995" s="5"/>
      <c r="AB995" s="5"/>
    </row>
    <row r="996">
      <c r="J996" s="58"/>
      <c r="W996" s="51"/>
      <c r="X996" s="5"/>
      <c r="Y996" s="5"/>
      <c r="Z996" s="5"/>
      <c r="AA996" s="5"/>
      <c r="AB996" s="5"/>
    </row>
    <row r="997">
      <c r="J997" s="58"/>
      <c r="W997" s="51"/>
      <c r="X997" s="5"/>
      <c r="Y997" s="5"/>
      <c r="Z997" s="5"/>
      <c r="AA997" s="5"/>
      <c r="AB997" s="5"/>
    </row>
    <row r="998">
      <c r="J998" s="58"/>
      <c r="W998" s="51"/>
      <c r="X998" s="5"/>
      <c r="Y998" s="5"/>
      <c r="Z998" s="5"/>
      <c r="AA998" s="5"/>
      <c r="AB998" s="5"/>
    </row>
    <row r="999">
      <c r="J999" s="58"/>
      <c r="W999" s="51"/>
      <c r="X999" s="5"/>
      <c r="Y999" s="5"/>
      <c r="Z999" s="5"/>
      <c r="AA999" s="5"/>
      <c r="AB999" s="5"/>
    </row>
    <row r="1000">
      <c r="J1000" s="58"/>
      <c r="W1000" s="51"/>
      <c r="X1000" s="5"/>
      <c r="Y1000" s="5"/>
      <c r="Z1000" s="5"/>
      <c r="AA1000" s="5"/>
      <c r="AB1000" s="5"/>
    </row>
  </sheetData>
  <mergeCells count="5">
    <mergeCell ref="G1:H1"/>
    <mergeCell ref="J1:M1"/>
    <mergeCell ref="O1:Q1"/>
    <mergeCell ref="S1:U1"/>
    <mergeCell ref="W1:Y1"/>
  </mergeCells>
  <drawing r:id="rId1"/>
</worksheet>
</file>